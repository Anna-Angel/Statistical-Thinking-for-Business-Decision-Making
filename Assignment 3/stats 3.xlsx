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tomaeya/Library/Mobile Documents/com~apple~CloudDocs/Downloads/"/>
    </mc:Choice>
  </mc:AlternateContent>
  <xr:revisionPtr revIDLastSave="0" documentId="8_{B6E4A329-FAA9-E040-A58A-0F9FC8EE85D5}" xr6:coauthVersionLast="47" xr6:coauthVersionMax="47" xr10:uidLastSave="{00000000-0000-0000-0000-000000000000}"/>
  <bookViews>
    <workbookView xWindow="0" yWindow="660" windowWidth="27040" windowHeight="15700" activeTab="4" xr2:uid="{A1F58296-FDA6-A947-A644-59CA56BBF889}"/>
  </bookViews>
  <sheets>
    <sheet name="Data" sheetId="1" r:id="rId1"/>
    <sheet name="Descriptive Statistics" sheetId="2" r:id="rId2"/>
    <sheet name="Frequency Tables" sheetId="4" r:id="rId3"/>
    <sheet name="Visuals" sheetId="5" r:id="rId4"/>
    <sheet name="Commentary" sheetId="6" r:id="rId5"/>
  </sheets>
  <definedNames>
    <definedName name="_xlnm._FilterDatabase" localSheetId="0" hidden="1">Data!$A$1:$K$514</definedName>
    <definedName name="_xlchart.v1.0" hidden="1">Data!$G$2:$G$514</definedName>
    <definedName name="_xlchart.v1.1" hidden="1">Data!$H$2:$H$514</definedName>
    <definedName name="Salary">Data!$K$2:$K$514</definedName>
  </definedNames>
  <calcPr calcId="191029"/>
  <pivotCaches>
    <pivotCache cacheId="0" r:id="rId6"/>
    <pivotCache cacheId="1" r:id="rId7"/>
    <pivotCache cacheId="2" r:id="rId8"/>
    <pivotCache cacheId="3" r:id="rId9"/>
    <pivotCache cacheId="4"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0" i="2" l="1"/>
  <c r="I10" i="2" s="1"/>
  <c r="G10" i="2"/>
  <c r="F10" i="2"/>
  <c r="E10" i="2"/>
  <c r="D10" i="2"/>
  <c r="C10" i="2"/>
  <c r="H9" i="2"/>
  <c r="I9" i="2" s="1"/>
  <c r="G9" i="2"/>
  <c r="F9" i="2"/>
  <c r="E9" i="2"/>
  <c r="D9" i="2"/>
  <c r="C9" i="2"/>
  <c r="H8" i="2"/>
  <c r="I8" i="2" s="1"/>
  <c r="G8" i="2"/>
  <c r="F8" i="2"/>
  <c r="E8" i="2"/>
  <c r="D8" i="2"/>
  <c r="C8" i="2"/>
  <c r="H7" i="2"/>
  <c r="I7" i="2" s="1"/>
  <c r="G7" i="2"/>
  <c r="F7" i="2"/>
  <c r="E7" i="2"/>
  <c r="D7" i="2"/>
  <c r="C7" i="2"/>
  <c r="H6" i="2"/>
  <c r="I6" i="2" s="1"/>
  <c r="G6" i="2"/>
  <c r="F6" i="2"/>
  <c r="E6" i="2"/>
  <c r="D6" i="2"/>
  <c r="C6" i="2"/>
  <c r="H5" i="2"/>
  <c r="I5" i="2" s="1"/>
  <c r="G5" i="2"/>
  <c r="F5" i="2"/>
  <c r="E5" i="2"/>
  <c r="D5" i="2"/>
  <c r="C5" i="2"/>
  <c r="M4" i="2"/>
  <c r="H4" i="2"/>
  <c r="I4" i="2" s="1"/>
  <c r="G4" i="2"/>
  <c r="F4" i="2"/>
  <c r="E4" i="2"/>
  <c r="D4" i="2"/>
  <c r="C4" i="2"/>
  <c r="M3" i="2"/>
  <c r="H3" i="2"/>
  <c r="I3" i="2" s="1"/>
  <c r="G3" i="2"/>
  <c r="F3" i="2"/>
  <c r="E3" i="2"/>
  <c r="D3" i="2"/>
  <c r="C3" i="2"/>
</calcChain>
</file>

<file path=xl/sharedStrings.xml><?xml version="1.0" encoding="utf-8"?>
<sst xmlns="http://schemas.openxmlformats.org/spreadsheetml/2006/main" count="2157" uniqueCount="1106">
  <si>
    <t>Player</t>
  </si>
  <si>
    <t>Age</t>
  </si>
  <si>
    <t>Pos</t>
  </si>
  <si>
    <t>eFG%</t>
  </si>
  <si>
    <t>TRB</t>
  </si>
  <si>
    <t>STL</t>
  </si>
  <si>
    <t>BLK</t>
  </si>
  <si>
    <t>PTS</t>
  </si>
  <si>
    <t>Player-additional</t>
  </si>
  <si>
    <t>SalaryUSD</t>
  </si>
  <si>
    <t>Stephen Curry</t>
  </si>
  <si>
    <t>curryst01</t>
  </si>
  <si>
    <t>Chris Paul</t>
  </si>
  <si>
    <t>paulch01</t>
  </si>
  <si>
    <t>Russell Westbrook</t>
  </si>
  <si>
    <t>westbru01</t>
  </si>
  <si>
    <t>John Wall</t>
  </si>
  <si>
    <t>walljo01</t>
  </si>
  <si>
    <t>James Harden</t>
  </si>
  <si>
    <t>hardeja01</t>
  </si>
  <si>
    <t>Kevin Durant</t>
  </si>
  <si>
    <t>duranke01</t>
  </si>
  <si>
    <t>LeBron James</t>
  </si>
  <si>
    <t>jamesle01</t>
  </si>
  <si>
    <t>Paul George</t>
  </si>
  <si>
    <t>georgpa01</t>
  </si>
  <si>
    <t>Mike Conley</t>
  </si>
  <si>
    <t>conlemi01</t>
  </si>
  <si>
    <t>Kemba Walker</t>
  </si>
  <si>
    <t>walkeke02</t>
  </si>
  <si>
    <t>Jimmy Butler</t>
  </si>
  <si>
    <t>butleji01</t>
  </si>
  <si>
    <t>Kawhi Leonard</t>
  </si>
  <si>
    <t>leonaka01</t>
  </si>
  <si>
    <t>Tobias Harris</t>
  </si>
  <si>
    <t>harrito02</t>
  </si>
  <si>
    <t>Khris Middleton</t>
  </si>
  <si>
    <t>middlkh01</t>
  </si>
  <si>
    <t>Anthony Davis</t>
  </si>
  <si>
    <t>davisan02</t>
  </si>
  <si>
    <t>Kyrie Irving</t>
  </si>
  <si>
    <t>irvinky01</t>
  </si>
  <si>
    <t>Damian Lillard</t>
  </si>
  <si>
    <t>lillada01</t>
  </si>
  <si>
    <t>Kevin Love</t>
  </si>
  <si>
    <t>loveke01</t>
  </si>
  <si>
    <t>Ben Simmons</t>
  </si>
  <si>
    <t>simmobe01</t>
  </si>
  <si>
    <t>Pascal Siakam</t>
  </si>
  <si>
    <t>siakapa01</t>
  </si>
  <si>
    <t>Kyle Lowry</t>
  </si>
  <si>
    <t>lowryky01</t>
  </si>
  <si>
    <t>Steven Adams</t>
  </si>
  <si>
    <t>adamsst01</t>
  </si>
  <si>
    <t>Andrew Wiggins</t>
  </si>
  <si>
    <t>wiggian01</t>
  </si>
  <si>
    <t>Nikola Jokić</t>
  </si>
  <si>
    <t>jokicni01</t>
  </si>
  <si>
    <t>Joel Embiid</t>
  </si>
  <si>
    <t>embiijo01</t>
  </si>
  <si>
    <t>Kristaps Porziņģis</t>
  </si>
  <si>
    <t>porzikr01</t>
  </si>
  <si>
    <t>Karl-Anthony Towns</t>
  </si>
  <si>
    <t>townska01</t>
  </si>
  <si>
    <t>Devin Booker</t>
  </si>
  <si>
    <t>bookede01</t>
  </si>
  <si>
    <t>CJ McCollum</t>
  </si>
  <si>
    <t>mccolcj01</t>
  </si>
  <si>
    <t>Bradley Beal</t>
  </si>
  <si>
    <t>bealbr01</t>
  </si>
  <si>
    <t>D'Angelo Russell</t>
  </si>
  <si>
    <t>russeda01</t>
  </si>
  <si>
    <t>Gordon Hayward</t>
  </si>
  <si>
    <t>haywago01</t>
  </si>
  <si>
    <t>Otto Porter Jr.</t>
  </si>
  <si>
    <t>porteot01</t>
  </si>
  <si>
    <t>DeMar DeRozan</t>
  </si>
  <si>
    <t>derozde01</t>
  </si>
  <si>
    <t>Giannis Antetokounmpo</t>
  </si>
  <si>
    <t>antetgi01</t>
  </si>
  <si>
    <t>Rudy Gobert</t>
  </si>
  <si>
    <t>goberru01</t>
  </si>
  <si>
    <t>Al Horford</t>
  </si>
  <si>
    <t>horfoal01</t>
  </si>
  <si>
    <t>Brandon Ingram</t>
  </si>
  <si>
    <t>ingrabr01</t>
  </si>
  <si>
    <t>Jamal Murray</t>
  </si>
  <si>
    <t>murraja01</t>
  </si>
  <si>
    <t>Jrue Holiday</t>
  </si>
  <si>
    <t>holidjr01</t>
  </si>
  <si>
    <t>Nikola Vučević</t>
  </si>
  <si>
    <t>vucevni01</t>
  </si>
  <si>
    <t>Buddy Hield</t>
  </si>
  <si>
    <t>hieldbu01</t>
  </si>
  <si>
    <t>LaMarcus Aldridge</t>
  </si>
  <si>
    <t>aldrila01</t>
  </si>
  <si>
    <t>Jaylen Brown</t>
  </si>
  <si>
    <t>brownja02</t>
  </si>
  <si>
    <t>Draymond Green</t>
  </si>
  <si>
    <t>greendr01</t>
  </si>
  <si>
    <t>Harrison Barnes</t>
  </si>
  <si>
    <t>barneha02</t>
  </si>
  <si>
    <t>Fred VanVleet</t>
  </si>
  <si>
    <t>vanvlfr01</t>
  </si>
  <si>
    <t>Victor Oladipo</t>
  </si>
  <si>
    <t>oladivi01</t>
  </si>
  <si>
    <t>Malcolm Brogdon</t>
  </si>
  <si>
    <t>brogdma01</t>
  </si>
  <si>
    <t>Domantas Sabonis</t>
  </si>
  <si>
    <t>sabondo01</t>
  </si>
  <si>
    <t>Gary Harris</t>
  </si>
  <si>
    <t>harriga01</t>
  </si>
  <si>
    <t>Danilo Gallinari</t>
  </si>
  <si>
    <t>gallida01</t>
  </si>
  <si>
    <t>Zach LaVine</t>
  </si>
  <si>
    <t>lavinza01</t>
  </si>
  <si>
    <t>Jerami Grant</t>
  </si>
  <si>
    <t>grantje01</t>
  </si>
  <si>
    <t>Tim Hardaway Jr.</t>
  </si>
  <si>
    <t>hardati02</t>
  </si>
  <si>
    <t>Julius Randle</t>
  </si>
  <si>
    <t>randlju01</t>
  </si>
  <si>
    <t>Terry Rozier</t>
  </si>
  <si>
    <t>roziete01</t>
  </si>
  <si>
    <t>Aaron Gordon</t>
  </si>
  <si>
    <t>gordoaa01</t>
  </si>
  <si>
    <t>Myles Turner</t>
  </si>
  <si>
    <t>turnemy01</t>
  </si>
  <si>
    <t>Bogdan Bogdanović</t>
  </si>
  <si>
    <t>bogdabo01</t>
  </si>
  <si>
    <t>Goran Dragić</t>
  </si>
  <si>
    <t>dragigo01</t>
  </si>
  <si>
    <t>Bojan Bogdanović</t>
  </si>
  <si>
    <t>bogdabo02</t>
  </si>
  <si>
    <t>Evan Fournier</t>
  </si>
  <si>
    <t>fournev01</t>
  </si>
  <si>
    <t>Ricky Rubio</t>
  </si>
  <si>
    <t>rubiori01</t>
  </si>
  <si>
    <t>Eric Bledsoe</t>
  </si>
  <si>
    <t>bledser01</t>
  </si>
  <si>
    <t>Eric Gordon</t>
  </si>
  <si>
    <t>gordoer01</t>
  </si>
  <si>
    <t>Caris LeVert</t>
  </si>
  <si>
    <t>leverca01</t>
  </si>
  <si>
    <t>Joe Harris</t>
  </si>
  <si>
    <t>harrijo01</t>
  </si>
  <si>
    <t>James Johnson</t>
  </si>
  <si>
    <t>johnsja01</t>
  </si>
  <si>
    <t>Dennis Schröder</t>
  </si>
  <si>
    <t>schrode01</t>
  </si>
  <si>
    <t>Clint Capela</t>
  </si>
  <si>
    <t>capelca01</t>
  </si>
  <si>
    <t>Cody Zeller</t>
  </si>
  <si>
    <t>zelleco01</t>
  </si>
  <si>
    <t>Danny Green</t>
  </si>
  <si>
    <t>greenda02</t>
  </si>
  <si>
    <t>Dāvis Bertāns</t>
  </si>
  <si>
    <t>bertada01</t>
  </si>
  <si>
    <t>Andre Iguodala</t>
  </si>
  <si>
    <t>iguodan01</t>
  </si>
  <si>
    <t>Jonas Valančiūnas</t>
  </si>
  <si>
    <t>valanjo01</t>
  </si>
  <si>
    <t>Marcus Morris</t>
  </si>
  <si>
    <t>morrima03</t>
  </si>
  <si>
    <t>Rudy Gay</t>
  </si>
  <si>
    <t>gayru01</t>
  </si>
  <si>
    <t>Kelly Oubre Jr.</t>
  </si>
  <si>
    <t>oubreke01</t>
  </si>
  <si>
    <t>Dejounte Murray</t>
  </si>
  <si>
    <t>murrade01</t>
  </si>
  <si>
    <t>Will Barton</t>
  </si>
  <si>
    <t>bartowi01</t>
  </si>
  <si>
    <t>Thaddeus Young</t>
  </si>
  <si>
    <t>youngth01</t>
  </si>
  <si>
    <t>Patty Mills</t>
  </si>
  <si>
    <t>millspa02</t>
  </si>
  <si>
    <t>Terrence Ross</t>
  </si>
  <si>
    <t>rosste01</t>
  </si>
  <si>
    <t>Marcus Smart</t>
  </si>
  <si>
    <t>smartma01</t>
  </si>
  <si>
    <t>Malik Beasley</t>
  </si>
  <si>
    <t>beaslma01</t>
  </si>
  <si>
    <t>Patrick Beverley</t>
  </si>
  <si>
    <t>beverpa01</t>
  </si>
  <si>
    <t>Christian Wood</t>
  </si>
  <si>
    <t>woodch01</t>
  </si>
  <si>
    <t>JJ Redick</t>
  </si>
  <si>
    <t>redicjj01</t>
  </si>
  <si>
    <t>Justise Winslow</t>
  </si>
  <si>
    <t>winslju01</t>
  </si>
  <si>
    <t>Jusuf Nurkić</t>
  </si>
  <si>
    <t>nurkiju01</t>
  </si>
  <si>
    <t>Trevor Ariza</t>
  </si>
  <si>
    <t>arizatr01</t>
  </si>
  <si>
    <t>Brook Lopez</t>
  </si>
  <si>
    <t>lopezbr01</t>
  </si>
  <si>
    <t>Cory Joseph</t>
  </si>
  <si>
    <t>josepco01</t>
  </si>
  <si>
    <t>Kelly Olynyk</t>
  </si>
  <si>
    <t>olynyke01</t>
  </si>
  <si>
    <t>T.J. Warren</t>
  </si>
  <si>
    <t>warretj01</t>
  </si>
  <si>
    <t>Markelle Fultz</t>
  </si>
  <si>
    <t>fultzma01</t>
  </si>
  <si>
    <t>Taurean Prince</t>
  </si>
  <si>
    <t>princta02</t>
  </si>
  <si>
    <t>Tony Snell</t>
  </si>
  <si>
    <t>snellto01</t>
  </si>
  <si>
    <t>Robert Covington</t>
  </si>
  <si>
    <t>covinro01</t>
  </si>
  <si>
    <t>Kentavious Caldwell-Pope</t>
  </si>
  <si>
    <t>caldwke01</t>
  </si>
  <si>
    <t>Larry Nance Jr.</t>
  </si>
  <si>
    <t>nancela02</t>
  </si>
  <si>
    <t>Jordan Clarkson</t>
  </si>
  <si>
    <t>clarkjo01</t>
  </si>
  <si>
    <t>Spencer Dinwiddie</t>
  </si>
  <si>
    <t>dinwisp01</t>
  </si>
  <si>
    <t>Dillon Brooks</t>
  </si>
  <si>
    <t>brookdi01</t>
  </si>
  <si>
    <t>Dwight Powell</t>
  </si>
  <si>
    <t>poweldw01</t>
  </si>
  <si>
    <t>Lonzo Ball</t>
  </si>
  <si>
    <t>balllo01</t>
  </si>
  <si>
    <t>Josh Richardson</t>
  </si>
  <si>
    <t>richajo01</t>
  </si>
  <si>
    <t>Norman Powell</t>
  </si>
  <si>
    <t>powelno01</t>
  </si>
  <si>
    <t>Joe Ingles</t>
  </si>
  <si>
    <t>inglejo01</t>
  </si>
  <si>
    <t>Jeremy Lamb</t>
  </si>
  <si>
    <t>lambje01</t>
  </si>
  <si>
    <t>DeAndre Jordan</t>
  </si>
  <si>
    <t>jordade01</t>
  </si>
  <si>
    <t>Zion Williamson</t>
  </si>
  <si>
    <t>willizi01</t>
  </si>
  <si>
    <t>Rodney Hood</t>
  </si>
  <si>
    <t>hoodro01</t>
  </si>
  <si>
    <t>Tomáš Satoranský</t>
  </si>
  <si>
    <t>satorto01</t>
  </si>
  <si>
    <t>Jayson Tatum</t>
  </si>
  <si>
    <t>tatumja01</t>
  </si>
  <si>
    <t>Anthony Edwards</t>
  </si>
  <si>
    <t>edwaran01</t>
  </si>
  <si>
    <t>Al-Farouq Aminu</t>
  </si>
  <si>
    <t>aminual01</t>
  </si>
  <si>
    <t>Danté Exum</t>
  </si>
  <si>
    <t>exumda01</t>
  </si>
  <si>
    <t>George Hill</t>
  </si>
  <si>
    <t>hillge01</t>
  </si>
  <si>
    <t>De'Anthony Melton</t>
  </si>
  <si>
    <t>meltode01</t>
  </si>
  <si>
    <t>Deandre Ayton</t>
  </si>
  <si>
    <t>aytonde01</t>
  </si>
  <si>
    <t>Kyle Anderson</t>
  </si>
  <si>
    <t>anderky01</t>
  </si>
  <si>
    <t>Meyers Leonard</t>
  </si>
  <si>
    <t>leoname01</t>
  </si>
  <si>
    <t>Derrick Jones Jr.</t>
  </si>
  <si>
    <t>jonesde02</t>
  </si>
  <si>
    <t>Tristan Thompson</t>
  </si>
  <si>
    <t>thomptr01</t>
  </si>
  <si>
    <t>Jae Crowder</t>
  </si>
  <si>
    <t>crowdja01</t>
  </si>
  <si>
    <t>Derrick Favors</t>
  </si>
  <si>
    <t>favorde01</t>
  </si>
  <si>
    <t>Serge Ibaka</t>
  </si>
  <si>
    <t>ibakase01</t>
  </si>
  <si>
    <t>Montrezl Harrell</t>
  </si>
  <si>
    <t>harremo01</t>
  </si>
  <si>
    <t>Dario Šarić</t>
  </si>
  <si>
    <t>saricda01</t>
  </si>
  <si>
    <t>Ja Morant</t>
  </si>
  <si>
    <t>moranja01</t>
  </si>
  <si>
    <t>Delon Wright</t>
  </si>
  <si>
    <t>wrighde01</t>
  </si>
  <si>
    <t>Marvin Bagley III</t>
  </si>
  <si>
    <t>baglema01</t>
  </si>
  <si>
    <t>Cedi Osman</t>
  </si>
  <si>
    <t>osmande01</t>
  </si>
  <si>
    <t>Tyus Jones</t>
  </si>
  <si>
    <t>jonesty01</t>
  </si>
  <si>
    <t>James Wiseman</t>
  </si>
  <si>
    <t>wisemja01</t>
  </si>
  <si>
    <t>Royce O'Neale</t>
  </si>
  <si>
    <t>onealro01</t>
  </si>
  <si>
    <t>Thomas Bryant</t>
  </si>
  <si>
    <t>bryanth01</t>
  </si>
  <si>
    <t>Maxi Kleber</t>
  </si>
  <si>
    <t>klebima01</t>
  </si>
  <si>
    <t>RJ Barrett</t>
  </si>
  <si>
    <t>barrerj01</t>
  </si>
  <si>
    <t>Jakob Poeltl</t>
  </si>
  <si>
    <t>poeltja01</t>
  </si>
  <si>
    <t>De'Aaron Fox</t>
  </si>
  <si>
    <t>foxde01</t>
  </si>
  <si>
    <t>Luka Dončić</t>
  </si>
  <si>
    <t>doncilu01</t>
  </si>
  <si>
    <t>Lou Williams</t>
  </si>
  <si>
    <t>willilo02</t>
  </si>
  <si>
    <t>Mason Plumlee</t>
  </si>
  <si>
    <t>plumlma01</t>
  </si>
  <si>
    <t>P.J. Tucker</t>
  </si>
  <si>
    <t>tuckepj01</t>
  </si>
  <si>
    <t>LaMelo Ball</t>
  </si>
  <si>
    <t>ballla01</t>
  </si>
  <si>
    <t>Seth Curry</t>
  </si>
  <si>
    <t>curryse01</t>
  </si>
  <si>
    <t>Derrick Rose</t>
  </si>
  <si>
    <t>rosede01</t>
  </si>
  <si>
    <t>Cristiano Felício</t>
  </si>
  <si>
    <t>feliccr01</t>
  </si>
  <si>
    <t>Rajon Rondo</t>
  </si>
  <si>
    <t>rondora01</t>
  </si>
  <si>
    <t>De'Andre Hunter</t>
  </si>
  <si>
    <t>huntede01</t>
  </si>
  <si>
    <t>Doug McDermott</t>
  </si>
  <si>
    <t>mcderdo01</t>
  </si>
  <si>
    <t>Robin Lopez</t>
  </si>
  <si>
    <t>lopezro01</t>
  </si>
  <si>
    <t>Jaren Jackson Jr.</t>
  </si>
  <si>
    <t>jacksja02</t>
  </si>
  <si>
    <t>JaMychal Green</t>
  </si>
  <si>
    <t>greenja01</t>
  </si>
  <si>
    <t>Patrick Williams</t>
  </si>
  <si>
    <t>willipa01</t>
  </si>
  <si>
    <t>Ivica Zubac</t>
  </si>
  <si>
    <t>zubaciv01</t>
  </si>
  <si>
    <t>Darius Miller</t>
  </si>
  <si>
    <t>milleda01</t>
  </si>
  <si>
    <t>Aron Baynes</t>
  </si>
  <si>
    <t>baynear01</t>
  </si>
  <si>
    <t>Chris Boucher</t>
  </si>
  <si>
    <t>bouchch01</t>
  </si>
  <si>
    <t>Lauri Markkanen</t>
  </si>
  <si>
    <t>markkla01</t>
  </si>
  <si>
    <t>Darius Garland</t>
  </si>
  <si>
    <t>garlada01</t>
  </si>
  <si>
    <t>D.J. Augustin</t>
  </si>
  <si>
    <t>augusdj01</t>
  </si>
  <si>
    <t>Trae Young</t>
  </si>
  <si>
    <t>youngtr01</t>
  </si>
  <si>
    <t>Juancho Hernangómez</t>
  </si>
  <si>
    <t>hernaju01</t>
  </si>
  <si>
    <t>Isaac Okoro</t>
  </si>
  <si>
    <t>okorois01</t>
  </si>
  <si>
    <t>Frank Ntilikina</t>
  </si>
  <si>
    <t>ntilila01</t>
  </si>
  <si>
    <t>Jarrett Culver</t>
  </si>
  <si>
    <t>culveja01</t>
  </si>
  <si>
    <t>Alec Burks</t>
  </si>
  <si>
    <t>burksal01</t>
  </si>
  <si>
    <t>Ish Smith</t>
  </si>
  <si>
    <t>smithis01</t>
  </si>
  <si>
    <t>Mo Bamba</t>
  </si>
  <si>
    <t>bambamo01</t>
  </si>
  <si>
    <t>Onyeka Okongwu</t>
  </si>
  <si>
    <t>okongon01</t>
  </si>
  <si>
    <t>Justin Holiday</t>
  </si>
  <si>
    <t>holidju01</t>
  </si>
  <si>
    <t>Dennis Smith Jr.</t>
  </si>
  <si>
    <t>smithde03</t>
  </si>
  <si>
    <t>Avery Bradley</t>
  </si>
  <si>
    <t>bradlav01</t>
  </si>
  <si>
    <t>Coby White</t>
  </si>
  <si>
    <t>whiteco01</t>
  </si>
  <si>
    <t>Trey Lyles</t>
  </si>
  <si>
    <t>lylestr01</t>
  </si>
  <si>
    <t>Wendell Carter Jr.</t>
  </si>
  <si>
    <t>cartewe01</t>
  </si>
  <si>
    <t>Malik Monk</t>
  </si>
  <si>
    <t>monkma01</t>
  </si>
  <si>
    <t>Killian Hayes</t>
  </si>
  <si>
    <t>hayeski01</t>
  </si>
  <si>
    <t>Luke Kennard</t>
  </si>
  <si>
    <t>kennalu01</t>
  </si>
  <si>
    <t>Donovan Mitchell</t>
  </si>
  <si>
    <t>mitchdo01</t>
  </si>
  <si>
    <t>Rodney McGruder</t>
  </si>
  <si>
    <t>mcgruro01</t>
  </si>
  <si>
    <t>Bam Adebayo</t>
  </si>
  <si>
    <t>adebaba01</t>
  </si>
  <si>
    <t>Jaxson Hayes</t>
  </si>
  <si>
    <t>hayesja02</t>
  </si>
  <si>
    <t>Enes Freedom</t>
  </si>
  <si>
    <t>kanteen01</t>
  </si>
  <si>
    <t>Mike Scott</t>
  </si>
  <si>
    <t>scottmi01</t>
  </si>
  <si>
    <t>Ed Davis</t>
  </si>
  <si>
    <t>davised01</t>
  </si>
  <si>
    <t>Richaun Holmes</t>
  </si>
  <si>
    <t>holmeri01</t>
  </si>
  <si>
    <t>Daniel Theis</t>
  </si>
  <si>
    <t>theisda01</t>
  </si>
  <si>
    <t>Nerlens Noel</t>
  </si>
  <si>
    <t>noelne01</t>
  </si>
  <si>
    <t>Collin Sexton</t>
  </si>
  <si>
    <t>sextoco01</t>
  </si>
  <si>
    <t>Pat Connaughton</t>
  </si>
  <si>
    <t>connapa01</t>
  </si>
  <si>
    <t>Obi Toppin</t>
  </si>
  <si>
    <t>toppiob01</t>
  </si>
  <si>
    <t>Garrett Temple</t>
  </si>
  <si>
    <t>templga01</t>
  </si>
  <si>
    <t>Josh Jackson</t>
  </si>
  <si>
    <t>jacksjo02</t>
  </si>
  <si>
    <t>Kris Dunn</t>
  </si>
  <si>
    <t>dunnkr01</t>
  </si>
  <si>
    <t>Elfrid Payton</t>
  </si>
  <si>
    <t>paytoel01</t>
  </si>
  <si>
    <t>Rui Hachimura</t>
  </si>
  <si>
    <t>hachiru01</t>
  </si>
  <si>
    <t>Denzel Valentine</t>
  </si>
  <si>
    <t>valende01</t>
  </si>
  <si>
    <t>Kevin Knox</t>
  </si>
  <si>
    <t>knoxke01</t>
  </si>
  <si>
    <t>D.J. Wilson</t>
  </si>
  <si>
    <t>wilsodj01</t>
  </si>
  <si>
    <t>Deni Avdija</t>
  </si>
  <si>
    <t>avdijde01</t>
  </si>
  <si>
    <t>Kevon Looney</t>
  </si>
  <si>
    <t>looneke01</t>
  </si>
  <si>
    <t>Cam Reddish</t>
  </si>
  <si>
    <t>reddica01</t>
  </si>
  <si>
    <t>T.J. Leaf</t>
  </si>
  <si>
    <t>leaftj01</t>
  </si>
  <si>
    <t>Jalen Smith</t>
  </si>
  <si>
    <t>smithja04</t>
  </si>
  <si>
    <t>JaVale McGee</t>
  </si>
  <si>
    <t>mcgeeja01</t>
  </si>
  <si>
    <t>Reggie Bullock</t>
  </si>
  <si>
    <t>bullore01</t>
  </si>
  <si>
    <t>Mikal Bridges</t>
  </si>
  <si>
    <t>bridgmi01</t>
  </si>
  <si>
    <t>Shai Gilgeous-Alexander</t>
  </si>
  <si>
    <t>gilgesh01</t>
  </si>
  <si>
    <t>John Collins</t>
  </si>
  <si>
    <t>collijo01</t>
  </si>
  <si>
    <t>Nicolò Melli</t>
  </si>
  <si>
    <t>mellini01</t>
  </si>
  <si>
    <t>Willie Cauley-Stein</t>
  </si>
  <si>
    <t>caulewi01</t>
  </si>
  <si>
    <t>Cameron Johnson</t>
  </si>
  <si>
    <t>johnsca02</t>
  </si>
  <si>
    <t>Devin Vassell</t>
  </si>
  <si>
    <t>vassede01</t>
  </si>
  <si>
    <t>P.J. Washington</t>
  </si>
  <si>
    <t>washipj01</t>
  </si>
  <si>
    <t>Dorian Finney-Smith</t>
  </si>
  <si>
    <t>finnedo01</t>
  </si>
  <si>
    <t>Patrick McCaw</t>
  </si>
  <si>
    <t>mccawpa01</t>
  </si>
  <si>
    <t>Terrance Ferguson</t>
  </si>
  <si>
    <t>fergute01</t>
  </si>
  <si>
    <t>Miles Bridges</t>
  </si>
  <si>
    <t>bridgmi02</t>
  </si>
  <si>
    <t>Jevon Carter</t>
  </si>
  <si>
    <t>carteje01</t>
  </si>
  <si>
    <t>Jarrett Allen</t>
  </si>
  <si>
    <t>allenja01</t>
  </si>
  <si>
    <t>OG Anunoby</t>
  </si>
  <si>
    <t>anunoog01</t>
  </si>
  <si>
    <t>Gabriel Deck</t>
  </si>
  <si>
    <t>deckga01</t>
  </si>
  <si>
    <t>Tyrese Haliburton</t>
  </si>
  <si>
    <t>halibty01</t>
  </si>
  <si>
    <t>Stanley Johnson</t>
  </si>
  <si>
    <t>johnsst04</t>
  </si>
  <si>
    <t>Jake Layman</t>
  </si>
  <si>
    <t>laymaja01</t>
  </si>
  <si>
    <t>Jerome Robinson</t>
  </si>
  <si>
    <t>robinje01</t>
  </si>
  <si>
    <t>Danuel House Jr.</t>
  </si>
  <si>
    <t>houseda01</t>
  </si>
  <si>
    <t>Kira Lewis Jr.</t>
  </si>
  <si>
    <t>lewiski01</t>
  </si>
  <si>
    <t>Romeo Langford</t>
  </si>
  <si>
    <t>langfro01</t>
  </si>
  <si>
    <t>Wesley Matthews</t>
  </si>
  <si>
    <t>matthwe02</t>
  </si>
  <si>
    <t>Bobby Portis</t>
  </si>
  <si>
    <t>portibo01</t>
  </si>
  <si>
    <t>Maurice Harkless</t>
  </si>
  <si>
    <t>harklma01</t>
  </si>
  <si>
    <t>Kyle Kuzma</t>
  </si>
  <si>
    <t>kuzmaky01</t>
  </si>
  <si>
    <t>Michael Porter Jr.</t>
  </si>
  <si>
    <t>portemi01</t>
  </si>
  <si>
    <t>Tony Bradley</t>
  </si>
  <si>
    <t>bradlto01</t>
  </si>
  <si>
    <t>Derrick White</t>
  </si>
  <si>
    <t>whitede01</t>
  </si>
  <si>
    <t>T.J. McConnell</t>
  </si>
  <si>
    <t>mccontj01</t>
  </si>
  <si>
    <t>Bismack Biyombo</t>
  </si>
  <si>
    <t>biyombi01</t>
  </si>
  <si>
    <t>Boban Marjanović</t>
  </si>
  <si>
    <t>marjabo01</t>
  </si>
  <si>
    <t>Josh Hart</t>
  </si>
  <si>
    <t>hartjo01</t>
  </si>
  <si>
    <t>Aaron Nesmith</t>
  </si>
  <si>
    <t>nesmiaa01</t>
  </si>
  <si>
    <t>Sekou Doumbouya</t>
  </si>
  <si>
    <t>doumbse01</t>
  </si>
  <si>
    <t>Michael Carter-Williams</t>
  </si>
  <si>
    <t>cartemi01</t>
  </si>
  <si>
    <t>James Ennis III</t>
  </si>
  <si>
    <t>ennisja01</t>
  </si>
  <si>
    <t>Cole Anthony</t>
  </si>
  <si>
    <t>anthoco01</t>
  </si>
  <si>
    <t>Troy Brown Jr.</t>
  </si>
  <si>
    <t>browntr01</t>
  </si>
  <si>
    <t>Isaiah Stewart</t>
  </si>
  <si>
    <t>stewais01</t>
  </si>
  <si>
    <t>Chuma Okeke</t>
  </si>
  <si>
    <t>okekech01</t>
  </si>
  <si>
    <t>Nickeil Alexander-Walker</t>
  </si>
  <si>
    <t>alexani01</t>
  </si>
  <si>
    <t>Facundo Campazzo</t>
  </si>
  <si>
    <t>campafa01</t>
  </si>
  <si>
    <t>Patrick Patterson</t>
  </si>
  <si>
    <t>pattepa01</t>
  </si>
  <si>
    <t>Donte DiVincenzo</t>
  </si>
  <si>
    <t>divindo01</t>
  </si>
  <si>
    <t>Trey Burke</t>
  </si>
  <si>
    <t>burketr01</t>
  </si>
  <si>
    <t>Khem Birch</t>
  </si>
  <si>
    <t>birchkh01</t>
  </si>
  <si>
    <t>Ryan Arcidiacono</t>
  </si>
  <si>
    <t>arcidry01</t>
  </si>
  <si>
    <t>Aleksej Pokusevski</t>
  </si>
  <si>
    <t>pokusal01</t>
  </si>
  <si>
    <t>Goga Bitadze</t>
  </si>
  <si>
    <t>bitadgo01</t>
  </si>
  <si>
    <t>Luka Šamanić</t>
  </si>
  <si>
    <t>samanlu01</t>
  </si>
  <si>
    <t>Lonnie Walker IV</t>
  </si>
  <si>
    <t>walkelo01</t>
  </si>
  <si>
    <t>Josh Green</t>
  </si>
  <si>
    <t>greenjo02</t>
  </si>
  <si>
    <t>Kevin Huerter</t>
  </si>
  <si>
    <t>huertke01</t>
  </si>
  <si>
    <t>Alex Caruso</t>
  </si>
  <si>
    <t>carusal01</t>
  </si>
  <si>
    <t>Matisse Thybulle</t>
  </si>
  <si>
    <t>thybuma01</t>
  </si>
  <si>
    <t>Saddiq Bey</t>
  </si>
  <si>
    <t>beysa01</t>
  </si>
  <si>
    <t>Josh Okogie</t>
  </si>
  <si>
    <t>okogijo01</t>
  </si>
  <si>
    <t>Brandon Clarke</t>
  </si>
  <si>
    <t>clarkbr01</t>
  </si>
  <si>
    <t>Tyler Herro</t>
  </si>
  <si>
    <t>herroty01</t>
  </si>
  <si>
    <t>Precious Achiuwa</t>
  </si>
  <si>
    <t>achiupr01</t>
  </si>
  <si>
    <t>Marc Gasol</t>
  </si>
  <si>
    <t>gasolma01</t>
  </si>
  <si>
    <t>Grayson Allen</t>
  </si>
  <si>
    <t>allengr01</t>
  </si>
  <si>
    <t>Grant Williams</t>
  </si>
  <si>
    <t>willigr01</t>
  </si>
  <si>
    <t>Tyrese Maxey</t>
  </si>
  <si>
    <t>maxeyty01</t>
  </si>
  <si>
    <t>Chandler Hutchison</t>
  </si>
  <si>
    <t>hutchch01</t>
  </si>
  <si>
    <t>Aaron Holiday</t>
  </si>
  <si>
    <t>holidaa01</t>
  </si>
  <si>
    <t>Darius Bazley</t>
  </si>
  <si>
    <t>bazleda01</t>
  </si>
  <si>
    <t>Bryn Forbes</t>
  </si>
  <si>
    <t>forbebr01</t>
  </si>
  <si>
    <t>Ty Jerome</t>
  </si>
  <si>
    <t>jeromty01</t>
  </si>
  <si>
    <t>Zeke Nnaji</t>
  </si>
  <si>
    <t>nnajize01</t>
  </si>
  <si>
    <t>Ben McLemore</t>
  </si>
  <si>
    <t>mclembe01</t>
  </si>
  <si>
    <t>Mike Muscala</t>
  </si>
  <si>
    <t>muscami01</t>
  </si>
  <si>
    <t>Anfernee Simons</t>
  </si>
  <si>
    <t>simonan01</t>
  </si>
  <si>
    <t>Brad Wanamaker</t>
  </si>
  <si>
    <t>wanambr01</t>
  </si>
  <si>
    <t>Luke Kornet</t>
  </si>
  <si>
    <t>kornelu01</t>
  </si>
  <si>
    <t>Nassir Little</t>
  </si>
  <si>
    <t>littlna01</t>
  </si>
  <si>
    <t>Payton Pritchard</t>
  </si>
  <si>
    <t>pritcpa01</t>
  </si>
  <si>
    <t>R.J. Hampton</t>
  </si>
  <si>
    <t>hamptrj01</t>
  </si>
  <si>
    <t>Edmond Sumner</t>
  </si>
  <si>
    <t>sumneed01</t>
  </si>
  <si>
    <t>Dylan Windler</t>
  </si>
  <si>
    <t>windldy01</t>
  </si>
  <si>
    <t>Immanuel Quickley</t>
  </si>
  <si>
    <t>quickim01</t>
  </si>
  <si>
    <t>John Konchar</t>
  </si>
  <si>
    <t>konchjo01</t>
  </si>
  <si>
    <t>Landry Shamet</t>
  </si>
  <si>
    <t>shamela01</t>
  </si>
  <si>
    <t>Jordan Poole</t>
  </si>
  <si>
    <t>poolejo01</t>
  </si>
  <si>
    <t>Bol Bol</t>
  </si>
  <si>
    <t>bolbo01</t>
  </si>
  <si>
    <t>Keldon Johnson</t>
  </si>
  <si>
    <t>johnske04</t>
  </si>
  <si>
    <t>Robert Williams</t>
  </si>
  <si>
    <t>williro04</t>
  </si>
  <si>
    <t>Gary Clark</t>
  </si>
  <si>
    <t>clarkga01</t>
  </si>
  <si>
    <t>Damyean Dotson</t>
  </si>
  <si>
    <t>dotsoda01</t>
  </si>
  <si>
    <t>Kenrich Williams</t>
  </si>
  <si>
    <t>willike04</t>
  </si>
  <si>
    <t>Théo Maledon</t>
  </si>
  <si>
    <t>maledth01</t>
  </si>
  <si>
    <t>Cameron Payne</t>
  </si>
  <si>
    <t>payneca01</t>
  </si>
  <si>
    <t>Udoka Azubuike</t>
  </si>
  <si>
    <t>azubuud01</t>
  </si>
  <si>
    <t>Jaden McDaniels</t>
  </si>
  <si>
    <t>mcdanja02</t>
  </si>
  <si>
    <t>Malachi Flynn</t>
  </si>
  <si>
    <t>flynnma01</t>
  </si>
  <si>
    <t>Desmond Bane</t>
  </si>
  <si>
    <t>banede01</t>
  </si>
  <si>
    <t>Jontay Porter</t>
  </si>
  <si>
    <t>portejo01</t>
  </si>
  <si>
    <t>Jahlil Okafor</t>
  </si>
  <si>
    <t>okafoja01</t>
  </si>
  <si>
    <t>Marquese Chriss</t>
  </si>
  <si>
    <t>chrisma01</t>
  </si>
  <si>
    <t>David Nwaba</t>
  </si>
  <si>
    <t>nwabada01</t>
  </si>
  <si>
    <t>Georges Niang</t>
  </si>
  <si>
    <t>niangge01</t>
  </si>
  <si>
    <t>Rodions Kurucs</t>
  </si>
  <si>
    <t>kurucro01</t>
  </si>
  <si>
    <t>Alfonzo McKinnie</t>
  </si>
  <si>
    <t>mckinal01</t>
  </si>
  <si>
    <t>PJ Dozier</t>
  </si>
  <si>
    <t>doziepj01</t>
  </si>
  <si>
    <t>Damion Lee</t>
  </si>
  <si>
    <t>leeda03</t>
  </si>
  <si>
    <t>Furkan Korkmaz</t>
  </si>
  <si>
    <t>korkmfu01</t>
  </si>
  <si>
    <t>Semi Ojeleye</t>
  </si>
  <si>
    <t>ojelese01</t>
  </si>
  <si>
    <t>Abdel Nader</t>
  </si>
  <si>
    <t>naderab01</t>
  </si>
  <si>
    <t>DeAndre' Bembry</t>
  </si>
  <si>
    <t>bembrde01</t>
  </si>
  <si>
    <t>Kevin Porter Jr.</t>
  </si>
  <si>
    <t>porteke02</t>
  </si>
  <si>
    <t>Thanasis Antetokounmpo</t>
  </si>
  <si>
    <t>antetth01</t>
  </si>
  <si>
    <t>Shake Milton</t>
  </si>
  <si>
    <t>miltosh01</t>
  </si>
  <si>
    <t>Brandon Goodwin</t>
  </si>
  <si>
    <t>goodwbr01</t>
  </si>
  <si>
    <t>Wes Iwundu</t>
  </si>
  <si>
    <t>iwundwe01</t>
  </si>
  <si>
    <t>Jalen Brunson</t>
  </si>
  <si>
    <t>brunsja01</t>
  </si>
  <si>
    <t>Isaac Bonga</t>
  </si>
  <si>
    <t>bongais01</t>
  </si>
  <si>
    <t>Gary Trent Jr.</t>
  </si>
  <si>
    <t>trentga02</t>
  </si>
  <si>
    <t>Svi Mykhailiuk</t>
  </si>
  <si>
    <t>mykhasv01</t>
  </si>
  <si>
    <t>Bruce Brown</t>
  </si>
  <si>
    <t>brownbr01</t>
  </si>
  <si>
    <t>Keita Bates-Diop</t>
  </si>
  <si>
    <t>bateske01</t>
  </si>
  <si>
    <t>Duncan Robinson</t>
  </si>
  <si>
    <t>robindu01</t>
  </si>
  <si>
    <t>Kendrick Nunn</t>
  </si>
  <si>
    <t>nunnke01</t>
  </si>
  <si>
    <t>Hamidou Diallo</t>
  </si>
  <si>
    <t>diallha01</t>
  </si>
  <si>
    <t>Mitchell Robinson</t>
  </si>
  <si>
    <t>robinmi01</t>
  </si>
  <si>
    <t>Jarred Vanderbilt</t>
  </si>
  <si>
    <t>vandeja01</t>
  </si>
  <si>
    <t>Shaquille Harrison</t>
  </si>
  <si>
    <t>harrish01</t>
  </si>
  <si>
    <t>JaKarr Sampson</t>
  </si>
  <si>
    <t>sampsja02</t>
  </si>
  <si>
    <t>Quinn Cook</t>
  </si>
  <si>
    <t>cookqu01</t>
  </si>
  <si>
    <t>E'Twaun Moore</t>
  </si>
  <si>
    <t>mooreet01</t>
  </si>
  <si>
    <t>Matthew Dellavedova</t>
  </si>
  <si>
    <t>dellama01</t>
  </si>
  <si>
    <t>Langston Galloway</t>
  </si>
  <si>
    <t>gallola01</t>
  </si>
  <si>
    <t>Harry Giles</t>
  </si>
  <si>
    <t>gilesha01</t>
  </si>
  <si>
    <t>Wenyen Gabriel</t>
  </si>
  <si>
    <t>gabriwe01</t>
  </si>
  <si>
    <t>Glenn Robinson III</t>
  </si>
  <si>
    <t>robingl02</t>
  </si>
  <si>
    <t>Reggie Jackson</t>
  </si>
  <si>
    <t>jacksre01</t>
  </si>
  <si>
    <t>Frank Kaminsky</t>
  </si>
  <si>
    <t>kaminfr01</t>
  </si>
  <si>
    <t>Torrey Craig</t>
  </si>
  <si>
    <t>craigto01</t>
  </si>
  <si>
    <t>Tyler Johnson</t>
  </si>
  <si>
    <t>johnsty01</t>
  </si>
  <si>
    <t>Sterling Brown</t>
  </si>
  <si>
    <t>brownst02</t>
  </si>
  <si>
    <t>Willy Hernangómez</t>
  </si>
  <si>
    <t>hernawi01</t>
  </si>
  <si>
    <t>Udonis Haslem</t>
  </si>
  <si>
    <t>hasleud01</t>
  </si>
  <si>
    <t>Wayne Ellington</t>
  </si>
  <si>
    <t>ellinwa01</t>
  </si>
  <si>
    <t>Jared Dudley</t>
  </si>
  <si>
    <t>dudleja01</t>
  </si>
  <si>
    <t>Kent Bazemore</t>
  </si>
  <si>
    <t>bazemke01</t>
  </si>
  <si>
    <t>Carmelo Anthony</t>
  </si>
  <si>
    <t>anthoca01</t>
  </si>
  <si>
    <t>Dwight Howard</t>
  </si>
  <si>
    <t>howardw01</t>
  </si>
  <si>
    <t>Solomon Hill</t>
  </si>
  <si>
    <t>hillso01</t>
  </si>
  <si>
    <t>Drew Eubanks</t>
  </si>
  <si>
    <t>eubandr01</t>
  </si>
  <si>
    <t>Hassan Whiteside</t>
  </si>
  <si>
    <t>whiteha01</t>
  </si>
  <si>
    <t>Markieff Morris</t>
  </si>
  <si>
    <t>morrima02</t>
  </si>
  <si>
    <t>Nicolas Batum</t>
  </si>
  <si>
    <t>batumni01</t>
  </si>
  <si>
    <t>Raul Neto</t>
  </si>
  <si>
    <t>netora01</t>
  </si>
  <si>
    <t>Isaiah Thomas</t>
  </si>
  <si>
    <t>thomais02</t>
  </si>
  <si>
    <t>Dwayne Bacon</t>
  </si>
  <si>
    <t>bacondw01</t>
  </si>
  <si>
    <t>Thon Maker</t>
  </si>
  <si>
    <t>makerth01</t>
  </si>
  <si>
    <t>Isaiah Hartenstein</t>
  </si>
  <si>
    <t>harteis01</t>
  </si>
  <si>
    <t>Jeff Green</t>
  </si>
  <si>
    <t>greenje02</t>
  </si>
  <si>
    <t>Monte Morris</t>
  </si>
  <si>
    <t>morrimo01</t>
  </si>
  <si>
    <t>Miye Oni</t>
  </si>
  <si>
    <t>onimi01</t>
  </si>
  <si>
    <t>Anžejs Pasečņiks</t>
  </si>
  <si>
    <t>pasecan01</t>
  </si>
  <si>
    <t>Vlatko Čančar</t>
  </si>
  <si>
    <t>cancavl01</t>
  </si>
  <si>
    <t>Carsen Edwards</t>
  </si>
  <si>
    <t>edwarca01</t>
  </si>
  <si>
    <t>Luguentz Dort</t>
  </si>
  <si>
    <t>dortlu01</t>
  </si>
  <si>
    <t>Terance Mann</t>
  </si>
  <si>
    <t>mannte01</t>
  </si>
  <si>
    <t>Naz Reid</t>
  </si>
  <si>
    <t>reidna01</t>
  </si>
  <si>
    <t>Isaiah Roby</t>
  </si>
  <si>
    <t>robyis01</t>
  </si>
  <si>
    <t>Talen Horton-Tucker</t>
  </si>
  <si>
    <t>hortota01</t>
  </si>
  <si>
    <t>Terence Davis</t>
  </si>
  <si>
    <t>daviste02</t>
  </si>
  <si>
    <t>Eric Paschall</t>
  </si>
  <si>
    <t>pascher01</t>
  </si>
  <si>
    <t>Cody Martin</t>
  </si>
  <si>
    <t>martico01</t>
  </si>
  <si>
    <t>Dean Wade</t>
  </si>
  <si>
    <t>wadede01</t>
  </si>
  <si>
    <t>KZ Okpala</t>
  </si>
  <si>
    <t>okpalkz01</t>
  </si>
  <si>
    <t>Caleb Martin</t>
  </si>
  <si>
    <t>martica02</t>
  </si>
  <si>
    <t>Daniel Gafford</t>
  </si>
  <si>
    <t>gaffoda01</t>
  </si>
  <si>
    <t>Rayjon Tucker</t>
  </si>
  <si>
    <t>tuckera01</t>
  </si>
  <si>
    <t>Alen Smailagić</t>
  </si>
  <si>
    <t>smailal01</t>
  </si>
  <si>
    <t>Mychal Mulder</t>
  </si>
  <si>
    <t>muldemy01</t>
  </si>
  <si>
    <t>Javonte Green</t>
  </si>
  <si>
    <t>greenja02</t>
  </si>
  <si>
    <t>Jalen McDaniels</t>
  </si>
  <si>
    <t>mcdanja01</t>
  </si>
  <si>
    <t>Bruno Fernando</t>
  </si>
  <si>
    <t>fernabr01</t>
  </si>
  <si>
    <t>Justin James</t>
  </si>
  <si>
    <t>jamesju01</t>
  </si>
  <si>
    <t>Chris Silva</t>
  </si>
  <si>
    <t>silvach01</t>
  </si>
  <si>
    <t>Matt Thomas</t>
  </si>
  <si>
    <t>thomama02</t>
  </si>
  <si>
    <t>Nic Claxton</t>
  </si>
  <si>
    <t>claxtni01</t>
  </si>
  <si>
    <t>Jalen Lecque</t>
  </si>
  <si>
    <t>lecquja01</t>
  </si>
  <si>
    <t>Jaylen Nowell</t>
  </si>
  <si>
    <t>nowelja01</t>
  </si>
  <si>
    <t>Juwan Morgan</t>
  </si>
  <si>
    <t>morgaju01</t>
  </si>
  <si>
    <t>Robert Woodard II</t>
  </si>
  <si>
    <t>woodaro01</t>
  </si>
  <si>
    <t>Theo Pinson</t>
  </si>
  <si>
    <t>pinsoth01</t>
  </si>
  <si>
    <t>DaQuan Jeffries</t>
  </si>
  <si>
    <t>jeffrda01</t>
  </si>
  <si>
    <t>Kelan Martin</t>
  </si>
  <si>
    <t>martike03</t>
  </si>
  <si>
    <t>Jae'Sean Tate</t>
  </si>
  <si>
    <t>tateja01</t>
  </si>
  <si>
    <t>Paul Watson</t>
  </si>
  <si>
    <t>watsopa01</t>
  </si>
  <si>
    <t>Taj Gibson</t>
  </si>
  <si>
    <t>gibsota01</t>
  </si>
  <si>
    <t>Jaylen Adams</t>
  </si>
  <si>
    <t>adamsja01</t>
  </si>
  <si>
    <t>Vernon Carey Jr.</t>
  </si>
  <si>
    <t>careyve01</t>
  </si>
  <si>
    <t>James Nunnally</t>
  </si>
  <si>
    <t>nunnaja01</t>
  </si>
  <si>
    <t>Andre Roberson</t>
  </si>
  <si>
    <t>roberan03</t>
  </si>
  <si>
    <t>Xavier Tillman Sr.</t>
  </si>
  <si>
    <t>tillmxa01</t>
  </si>
  <si>
    <t>Tyrell Terry</t>
  </si>
  <si>
    <t>terryty01</t>
  </si>
  <si>
    <t>Alex Len</t>
  </si>
  <si>
    <t>lenal01</t>
  </si>
  <si>
    <t>Noah Vonleh</t>
  </si>
  <si>
    <t>vonleno01</t>
  </si>
  <si>
    <t>Nick Richards</t>
  </si>
  <si>
    <t>richani01</t>
  </si>
  <si>
    <t>Jahmi'us Ramsey</t>
  </si>
  <si>
    <t>ramseja01</t>
  </si>
  <si>
    <t>Gorgui Dieng</t>
  </si>
  <si>
    <t>dienggo01</t>
  </si>
  <si>
    <t>Paul Millsap</t>
  </si>
  <si>
    <t>millspa01</t>
  </si>
  <si>
    <t>Anthony Gill</t>
  </si>
  <si>
    <t>gillan01</t>
  </si>
  <si>
    <t>Max Strus</t>
  </si>
  <si>
    <t>strusma01</t>
  </si>
  <si>
    <t>Isaiah Joe</t>
  </si>
  <si>
    <t>joeis01</t>
  </si>
  <si>
    <t>KJ Martin</t>
  </si>
  <si>
    <t>martike04</t>
  </si>
  <si>
    <t>Daniel Oturu</t>
  </si>
  <si>
    <t>oturuda01</t>
  </si>
  <si>
    <t>CJ Elleby</t>
  </si>
  <si>
    <t>ellebcj01</t>
  </si>
  <si>
    <t>Jordan Nwora</t>
  </si>
  <si>
    <t>nworajo01</t>
  </si>
  <si>
    <t>Deividas Sirvydis</t>
  </si>
  <si>
    <t>sirvyde01</t>
  </si>
  <si>
    <t>Elijah Hughes</t>
  </si>
  <si>
    <t>hugheel01</t>
  </si>
  <si>
    <t>Sam Merrill</t>
  </si>
  <si>
    <t>merrisa01</t>
  </si>
  <si>
    <t>Tre Jones</t>
  </si>
  <si>
    <t>jonestr01</t>
  </si>
  <si>
    <t>Andre Drummond</t>
  </si>
  <si>
    <t>drumman01</t>
  </si>
  <si>
    <t>Blake Griffin</t>
  </si>
  <si>
    <t>griffbl01</t>
  </si>
  <si>
    <t>Oshae Brissett</t>
  </si>
  <si>
    <t>brissos01</t>
  </si>
  <si>
    <t>Ersan İlyasova</t>
  </si>
  <si>
    <t>ilyaser01</t>
  </si>
  <si>
    <t>Chimezie Metu</t>
  </si>
  <si>
    <t>metuch01</t>
  </si>
  <si>
    <t>Timothé Luwawu-Cabarrot</t>
  </si>
  <si>
    <t>luwawti01</t>
  </si>
  <si>
    <t>Lamar Stevens</t>
  </si>
  <si>
    <t>stevela01</t>
  </si>
  <si>
    <t>Paul Reed</t>
  </si>
  <si>
    <t>reedpa01</t>
  </si>
  <si>
    <t>Jeff Teague</t>
  </si>
  <si>
    <t>teaguje01</t>
  </si>
  <si>
    <t>Norvel Pelle</t>
  </si>
  <si>
    <t>pelleno01</t>
  </si>
  <si>
    <t>Armoni Brooks</t>
  </si>
  <si>
    <t>brookar01</t>
  </si>
  <si>
    <t>Devon Dotson</t>
  </si>
  <si>
    <t>dotsode01</t>
  </si>
  <si>
    <t>Gabe Vincent</t>
  </si>
  <si>
    <t>vincega01</t>
  </si>
  <si>
    <t>Jay Scrubb</t>
  </si>
  <si>
    <t>scrubja01</t>
  </si>
  <si>
    <t>Jeremiah Martin</t>
  </si>
  <si>
    <t>martije02</t>
  </si>
  <si>
    <t>Justin Jackson</t>
  </si>
  <si>
    <t>jacksju01</t>
  </si>
  <si>
    <t>Moses Brown</t>
  </si>
  <si>
    <t>brownmo01</t>
  </si>
  <si>
    <t>Jordan McLaughlin</t>
  </si>
  <si>
    <t>mclaujo01</t>
  </si>
  <si>
    <t>Tyler Bey</t>
  </si>
  <si>
    <t>beyty01</t>
  </si>
  <si>
    <t>Grant Riller</t>
  </si>
  <si>
    <t>rillegr01</t>
  </si>
  <si>
    <t>Adam Mokoka</t>
  </si>
  <si>
    <t>mokokad01</t>
  </si>
  <si>
    <t>Chasson Randle</t>
  </si>
  <si>
    <t>randlch01</t>
  </si>
  <si>
    <t>Jordan Bell</t>
  </si>
  <si>
    <t>belljo01</t>
  </si>
  <si>
    <t>Axel Toupane</t>
  </si>
  <si>
    <t>toupaax01</t>
  </si>
  <si>
    <t>Amida Brimah</t>
  </si>
  <si>
    <t>brimaam01</t>
  </si>
  <si>
    <t>Saben Lee</t>
  </si>
  <si>
    <t>leesa01</t>
  </si>
  <si>
    <t>Kostas Antetokounmpo</t>
  </si>
  <si>
    <t>antetko01</t>
  </si>
  <si>
    <t>Keljin Blevins</t>
  </si>
  <si>
    <t>blevike01</t>
  </si>
  <si>
    <t>Garrison Mathews</t>
  </si>
  <si>
    <t>mathega01</t>
  </si>
  <si>
    <t>Cassius Stanley</t>
  </si>
  <si>
    <t>stanlca01</t>
  </si>
  <si>
    <t>Frank Jackson</t>
  </si>
  <si>
    <t>jacksfr01</t>
  </si>
  <si>
    <t>Sean McDermott</t>
  </si>
  <si>
    <t>mcderse01</t>
  </si>
  <si>
    <t>Brodric Thomas</t>
  </si>
  <si>
    <t>thomabr01</t>
  </si>
  <si>
    <t>Chris Chiozza</t>
  </si>
  <si>
    <t>chiozch01</t>
  </si>
  <si>
    <t>Trent Forrest</t>
  </si>
  <si>
    <t>forretr01</t>
  </si>
  <si>
    <t>Kyle Guy</t>
  </si>
  <si>
    <t>guyky01</t>
  </si>
  <si>
    <t>Josh Hall</t>
  </si>
  <si>
    <t>halljo01</t>
  </si>
  <si>
    <t>Tremont Waters</t>
  </si>
  <si>
    <t>watertr01</t>
  </si>
  <si>
    <t>Markus Howard</t>
  </si>
  <si>
    <t>howarma02</t>
  </si>
  <si>
    <t>Reggie Perry</t>
  </si>
  <si>
    <t>perryre01</t>
  </si>
  <si>
    <t>Jaylen Hoard</t>
  </si>
  <si>
    <t>hoardja01</t>
  </si>
  <si>
    <t>Nico Mannion</t>
  </si>
  <si>
    <t>mannini01</t>
  </si>
  <si>
    <t>Skylar Mays</t>
  </si>
  <si>
    <t>mayssk01</t>
  </si>
  <si>
    <t>Devontae Cacok</t>
  </si>
  <si>
    <t>cacokde01</t>
  </si>
  <si>
    <t>Nathan Knight</t>
  </si>
  <si>
    <t>knighna01</t>
  </si>
  <si>
    <t>Killian Tillie</t>
  </si>
  <si>
    <t>tilliki02</t>
  </si>
  <si>
    <t>Jarrell Brantley</t>
  </si>
  <si>
    <t>brantja01</t>
  </si>
  <si>
    <t>Jared Harper</t>
  </si>
  <si>
    <t>harpeja01</t>
  </si>
  <si>
    <t>Quinndary Weatherspoon</t>
  </si>
  <si>
    <t>weathqu01</t>
  </si>
  <si>
    <t>Nate Darling</t>
  </si>
  <si>
    <t>darlina01</t>
  </si>
  <si>
    <t>Sindarius Thornwell</t>
  </si>
  <si>
    <t>thornsi01</t>
  </si>
  <si>
    <t>Cassius Winston</t>
  </si>
  <si>
    <t>winstca01</t>
  </si>
  <si>
    <t>Anthony Lamb</t>
  </si>
  <si>
    <t>lamban01</t>
  </si>
  <si>
    <t>Louis King</t>
  </si>
  <si>
    <t>kinglo02</t>
  </si>
  <si>
    <t>Nate Hinton</t>
  </si>
  <si>
    <t>hintona01</t>
  </si>
  <si>
    <t>Tacko Fall</t>
  </si>
  <si>
    <t>fallta01</t>
  </si>
  <si>
    <t>Amir Coffey</t>
  </si>
  <si>
    <t>coffeam01</t>
  </si>
  <si>
    <t>Ty-Shon Alexander</t>
  </si>
  <si>
    <t>alexaty01</t>
  </si>
  <si>
    <t>Dewayne Dedmon</t>
  </si>
  <si>
    <t>dedmode01</t>
  </si>
  <si>
    <t>Nemanja Bjelica</t>
  </si>
  <si>
    <t>bjeline01</t>
  </si>
  <si>
    <t>Jabari Parker</t>
  </si>
  <si>
    <t>parkeja01</t>
  </si>
  <si>
    <t>Alize Johnson</t>
  </si>
  <si>
    <t>johnsal02</t>
  </si>
  <si>
    <t>Tyler Cook</t>
  </si>
  <si>
    <t>cookty01</t>
  </si>
  <si>
    <t>Juan Toscano-Anderson</t>
  </si>
  <si>
    <t>toscaju01</t>
  </si>
  <si>
    <t>Yuta Watanabe</t>
  </si>
  <si>
    <t>watanyu01</t>
  </si>
  <si>
    <t>Anthony Tolliver</t>
  </si>
  <si>
    <t>tollian01</t>
  </si>
  <si>
    <t>Tim Frazier</t>
  </si>
  <si>
    <t>fraziti01</t>
  </si>
  <si>
    <t>Khyri Thomas</t>
  </si>
  <si>
    <t>thomakh01</t>
  </si>
  <si>
    <t>Damian Jones</t>
  </si>
  <si>
    <t>jonesda03</t>
  </si>
  <si>
    <t>DeMarcus Cousins</t>
  </si>
  <si>
    <t>couside01</t>
  </si>
  <si>
    <t>Moritz Wagner</t>
  </si>
  <si>
    <t>wagnemo01</t>
  </si>
  <si>
    <t>Yogi Ferrell</t>
  </si>
  <si>
    <t>ferreyo01</t>
  </si>
  <si>
    <t>Austin Rivers</t>
  </si>
  <si>
    <t>riverau01</t>
  </si>
  <si>
    <t>Devonte' Graham</t>
  </si>
  <si>
    <t>grahade01</t>
  </si>
  <si>
    <t>Mamadi Diakite</t>
  </si>
  <si>
    <t>diakima01</t>
  </si>
  <si>
    <t>Mfiondu Kabengele</t>
  </si>
  <si>
    <t>kabenmf01</t>
  </si>
  <si>
    <t>Naji Marshall</t>
  </si>
  <si>
    <t>marshna01</t>
  </si>
  <si>
    <t>Freddie Gillespie</t>
  </si>
  <si>
    <t>gillefr01</t>
  </si>
  <si>
    <t>Ignas Brazdeikis</t>
  </si>
  <si>
    <t>brazdig01</t>
  </si>
  <si>
    <t>Mike James</t>
  </si>
  <si>
    <t>jamesmi02</t>
  </si>
  <si>
    <t>Elijah Bryant</t>
  </si>
  <si>
    <t>bryanel01</t>
  </si>
  <si>
    <t>Charlie Brown Jr.</t>
  </si>
  <si>
    <t>brownch02</t>
  </si>
  <si>
    <t>Gary Payton II</t>
  </si>
  <si>
    <t>paytoga02</t>
  </si>
  <si>
    <t>Guard</t>
  </si>
  <si>
    <t>Forward</t>
  </si>
  <si>
    <t>Center</t>
  </si>
  <si>
    <t>West</t>
  </si>
  <si>
    <t>East</t>
  </si>
  <si>
    <t>Multiple Teams</t>
  </si>
  <si>
    <t>Conf</t>
  </si>
  <si>
    <t>AstTovRatio</t>
  </si>
  <si>
    <t>Continuous Variable</t>
  </si>
  <si>
    <t>Count</t>
  </si>
  <si>
    <t>Mean</t>
  </si>
  <si>
    <t>Median</t>
  </si>
  <si>
    <t>Mode</t>
  </si>
  <si>
    <t>Standard Dev.</t>
  </si>
  <si>
    <t>Minimum</t>
  </si>
  <si>
    <t>Maximum</t>
  </si>
  <si>
    <t>Range</t>
  </si>
  <si>
    <t>Assist to Turnover Ratio</t>
  </si>
  <si>
    <t>Effective Field Goal %</t>
  </si>
  <si>
    <t>Total Rebounds</t>
  </si>
  <si>
    <t>Steals</t>
  </si>
  <si>
    <t>Blocks</t>
  </si>
  <si>
    <t>Points</t>
  </si>
  <si>
    <t>Salary (USD)</t>
  </si>
  <si>
    <t>Grand Total</t>
  </si>
  <si>
    <t>Conference</t>
  </si>
  <si>
    <t>Categorical Variable</t>
  </si>
  <si>
    <t>Number of Unique Categories</t>
  </si>
  <si>
    <t>Position</t>
  </si>
  <si>
    <t>220 (West)</t>
  </si>
  <si>
    <t>3 (West, East, Multiple Teams)</t>
  </si>
  <si>
    <t>3 (Guard, Forward, Center)</t>
  </si>
  <si>
    <t>219 (Guard)</t>
  </si>
  <si>
    <t>Rel. Frequency</t>
  </si>
  <si>
    <t>Frequency</t>
  </si>
  <si>
    <t>This table reveals that our 513 NBA players are roughly evenly split between the Eastern and Western Conferences.</t>
  </si>
  <si>
    <t>Around 42% of players in the dataset are in the East, and the same goes for the West.</t>
  </si>
  <si>
    <t>This table also tells us that 15% of players played for multiple teams in the 2020-21 season.</t>
  </si>
  <si>
    <t>In other words, 85% of players remained on the same team from start to finish in the 2020-21 season.</t>
  </si>
  <si>
    <t>This table shows that around 43% of players in these data are guards.</t>
  </si>
  <si>
    <t>Around 39% of players are forwards.</t>
  </si>
  <si>
    <t>Around 18% of players are centers.</t>
  </si>
  <si>
    <t>Overall, guards are the most common players in this dataset, with forwards shortly behind, and centers lagging much further behind.</t>
  </si>
  <si>
    <t>Count of Age</t>
  </si>
  <si>
    <t>Row Labels</t>
  </si>
  <si>
    <t>Ideas:</t>
  </si>
  <si>
    <t>How well do variables correlate to salary from the scatter plots?</t>
  </si>
  <si>
    <t>Many more young players from the age histogram</t>
  </si>
  <si>
    <t>Block and steal boxplots tell us that many players don't rack up defensive stats, so maybe defensive stats are really valuable</t>
  </si>
  <si>
    <t>Many players have low stat totals, showing the majority of the league simply doesn't get much playing time</t>
  </si>
  <si>
    <t>Blocks especially have a number of points outside the upper whisker of the boxplot.</t>
  </si>
  <si>
    <t>Count of SalaryUSD</t>
  </si>
  <si>
    <t>&gt;$5</t>
  </si>
  <si>
    <t>$5-10</t>
  </si>
  <si>
    <t>$10-15</t>
  </si>
  <si>
    <t>$15-20</t>
  </si>
  <si>
    <t>$20-25</t>
  </si>
  <si>
    <t>$25-30</t>
  </si>
  <si>
    <t>$30-35</t>
  </si>
  <si>
    <t>$35-40</t>
  </si>
  <si>
    <t>$40-45</t>
  </si>
  <si>
    <t>Majority of players make below $5 million</t>
  </si>
  <si>
    <t>Count of Conf</t>
  </si>
  <si>
    <t>Count of Pos</t>
  </si>
  <si>
    <t>Average of AstTovRatio</t>
  </si>
  <si>
    <t>Conferences are pretty evenly split, much less players played for multiple teams but still a decent amount</t>
  </si>
  <si>
    <t>Most popular position is guard, then forward, then center</t>
  </si>
  <si>
    <t>Guards tend to have better assist to turnover ratios (in other words, guards are better passers - probably other skills that correlate to different position like blocks/rebounds for centers or shooting for guards/forwards)</t>
  </si>
  <si>
    <t>The dataset covers 513 NBA players from the 2020–21 season across 12 columns. We removed several fields from the raw export and retained the core box-score measures, including points, rebounds, and blocks. We also added two advanced measures, effective field goal percentage and assist-to-turnover ratio, to better represent player performance. Categorical variables were recoded using find and replace: position was collapsed from the five conventional designations (PG, SG, SF, PF, C) into three — Guard, Forward, and Center — and team was generalized to conference — East, West, and Multiple Teams for players traded mid-season. What the descriptive statistics reveal most clearly is that almost every continuous variable is right-skewed. Salary is the extreme case: the mean of $7.03M sits more than double the median of $3.04M, 62% of the league earns under $5 million, and the range spans from $11,898 to $43.0M — a factor of over 3,600. Blocks are similarly lopsided (mean 20.4, median 13, 27 values flagged as statistical outliers by the 1.5×IQR rule), which is why the boxplot shows so many points above the upper whisker. These aren't data-entry errors; they reflect a genuine feature of the league, where a small number of stars accumulate most of the production and most of the payroll while the majority of rostered players see limited minutes. The one place we'd caution against reading the numbers literally is effective field goal percentage, where the min of 0.000 and max of 1.000 come from players with a handful of total attempts — small-sample artifacts rather than meaningful shooting ability.</t>
  </si>
  <si>
    <t>The categorical variables are more balanced than the continuous ones. Conference splits almost evenly (West 42.9%, East 42.1%), which is reassuring — it means conference comparisons won't be distorted by unequal group sizes — while 15% of players changed teams during the season, a higher churn rate than we expected. Position is moderately unbalanced: guards (42.7%) and forwards (38.8%) together account for over 80% of the league, with centers at just 18.5%, consistent with the modern shift toward smaller, perimeter-oriented lineups. The clearest positional pattern is in assist-to-turnover ratio, where guards average 2.20 against forwards at 1.55 and centers at 1.27 — a large and intuitive gap, since guards handle the ball as their primary job. Looking at the scatterplots against salary, points scored shows the strongest visible relationship, and the correlations bear that out: PTS at r = 0.65, followed by steals (0.49), rebounds (0.46), age (0.37), blocks (0.27), and then a steep drop to assist-to-turnover ratio (0.15) and eFG% (0.14). That last result is what we'd most want to explore next — if efficiency barely correlates with pay while raw scoring volume correlates strongly, teams may be paying for counting stats rather than for how effectively those stats are produced. Three follow-up questions we'd pursue: (1) does the relationship hold once you control for minutes played, since volume stats and salary may both simply be proxies for playing time? (2) does age interact with salary non-linearly — rookie-scale contracts should compress young players' pay regardless of production, which would show up as a curve rather than a line; and (3) are the ~48 salary outliers above the IQR fence a distinct "max contract" tier that should be modeled separately rather than pooled with the rest of the league?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</si>
</sst>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5" x14ac:knownFonts="1">
    <font>
      <sz val="12"/>
      <color theme="1"/>
      <name val="Aptos Narrow"/>
      <family val="2"/>
      <scheme val="minor"/>
    </font>
    <font>
      <b/>
      <sz val="11"/>
      <color theme="1"/>
      <name val="Aptos Narrow"/>
      <family val="2"/>
      <scheme val="minor"/>
    </font>
    <font>
      <b/>
      <sz val="12"/>
      <color theme="1"/>
      <name val="Aptos Narrow"/>
      <scheme val="minor"/>
    </font>
    <font>
      <sz val="12"/>
      <color theme="1"/>
      <name val="Aptos Narrow"/>
      <family val="2"/>
      <scheme val="minor"/>
    </font>
    <font>
      <i/>
      <sz val="12"/>
      <color theme="1"/>
      <name val="Aptos Narrow"/>
      <scheme val="minor"/>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thin">
        <color auto="1"/>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2" fillId="0" borderId="1" xfId="0" applyFont="1" applyBorder="1"/>
    <xf numFmtId="0" fontId="2" fillId="0" borderId="0" xfId="0" applyFont="1"/>
    <xf numFmtId="0" fontId="0" fillId="0" borderId="0" xfId="0" pivotButton="1"/>
    <xf numFmtId="0" fontId="0" fillId="0" borderId="0" xfId="0" applyAlignment="1">
      <alignment horizontal="left"/>
    </xf>
    <xf numFmtId="0" fontId="0" fillId="0" borderId="1" xfId="0" applyBorder="1" applyAlignment="1">
      <alignment horizontal="center" vertical="center"/>
    </xf>
    <xf numFmtId="2" fontId="0" fillId="0" borderId="1" xfId="0" applyNumberFormat="1" applyBorder="1" applyAlignment="1">
      <alignment horizontal="center" vertical="center"/>
    </xf>
    <xf numFmtId="10" fontId="0" fillId="0" borderId="1" xfId="2" applyNumberFormat="1" applyFont="1" applyBorder="1" applyAlignment="1">
      <alignment horizontal="center" vertical="center"/>
    </xf>
    <xf numFmtId="164" fontId="0" fillId="0" borderId="1" xfId="1" applyFont="1" applyBorder="1" applyAlignment="1">
      <alignment horizontal="center" vertical="center"/>
    </xf>
    <xf numFmtId="0" fontId="0" fillId="0" borderId="4" xfId="0" applyBorder="1" applyAlignment="1">
      <alignment horizontal="center" vertical="center"/>
    </xf>
    <xf numFmtId="2" fontId="0" fillId="0" borderId="4"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2" xfId="0" applyFont="1" applyBorder="1" applyAlignment="1">
      <alignment horizontal="center" vertical="center"/>
    </xf>
    <xf numFmtId="0" fontId="4" fillId="0" borderId="2" xfId="0" applyFont="1" applyBorder="1" applyAlignment="1">
      <alignment horizontal="center" vertical="center"/>
    </xf>
    <xf numFmtId="0" fontId="0" fillId="0" borderId="7" xfId="0" applyBorder="1" applyAlignment="1">
      <alignment horizontal="center" vertical="center"/>
    </xf>
    <xf numFmtId="2"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0" fontId="0" fillId="0" borderId="10" xfId="2" applyNumberFormat="1" applyFont="1" applyBorder="1" applyAlignment="1">
      <alignment horizontal="center" vertical="center"/>
    </xf>
    <xf numFmtId="0" fontId="0" fillId="0" borderId="10" xfId="0" applyBorder="1" applyAlignment="1">
      <alignment horizontal="center" vertical="center"/>
    </xf>
    <xf numFmtId="164" fontId="0" fillId="0" borderId="10" xfId="1" applyFont="1" applyBorder="1" applyAlignment="1">
      <alignment horizontal="center" vertical="center"/>
    </xf>
    <xf numFmtId="2" fontId="0" fillId="0" borderId="11" xfId="0" applyNumberFormat="1" applyBorder="1" applyAlignment="1">
      <alignment horizontal="center" vertical="center"/>
    </xf>
    <xf numFmtId="0" fontId="4" fillId="0" borderId="3" xfId="0" applyFont="1"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10" fontId="0" fillId="0" borderId="0" xfId="0" applyNumberFormat="1"/>
    <xf numFmtId="0" fontId="0" fillId="0" borderId="0" xfId="0" applyAlignment="1">
      <alignment vertical="top" wrapText="1"/>
    </xf>
    <xf numFmtId="0" fontId="0" fillId="0" borderId="0" xfId="0" applyAlignment="1">
      <alignment vertical="top"/>
    </xf>
  </cellXfs>
  <cellStyles count="3">
    <cellStyle name="Currency" xfId="1" builtinId="4"/>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[stats 3.xlsx]Visuals!PivotTable1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 of Player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Visuals!$C$2</c:f>
              <c:strCache>
                <c:ptCount val="1"/>
                <c:pt idx="0">
                  <c:v>Total</c:v>
                </c:pt>
              </c:strCache>
            </c:strRef>
          </c:tx>
          <c:spPr>
            <a:solidFill>
              <a:schemeClr val="accent1"/>
            </a:solidFill>
            <a:ln>
              <a:solidFill>
                <a:schemeClr val="accent2"/>
              </a:solidFill>
            </a:ln>
            <a:effectLst/>
          </c:spPr>
          <c:invertIfNegative val="0"/>
          <c:cat>
            <c:strRef>
              <c:f>Visuals!$B$3:$B$23</c:f>
              <c:strCache>
                <c:ptCount val="20"/>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40</c:v>
                </c:pt>
              </c:strCache>
            </c:strRef>
          </c:cat>
          <c:val>
            <c:numRef>
              <c:f>Visuals!$C$3:$C$23</c:f>
              <c:numCache>
                <c:formatCode>General</c:formatCode>
                <c:ptCount val="20"/>
                <c:pt idx="0">
                  <c:v>13</c:v>
                </c:pt>
                <c:pt idx="1">
                  <c:v>29</c:v>
                </c:pt>
                <c:pt idx="2">
                  <c:v>44</c:v>
                </c:pt>
                <c:pt idx="3">
                  <c:v>49</c:v>
                </c:pt>
                <c:pt idx="4">
                  <c:v>53</c:v>
                </c:pt>
                <c:pt idx="5">
                  <c:v>47</c:v>
                </c:pt>
                <c:pt idx="6">
                  <c:v>46</c:v>
                </c:pt>
                <c:pt idx="7">
                  <c:v>37</c:v>
                </c:pt>
                <c:pt idx="8">
                  <c:v>35</c:v>
                </c:pt>
                <c:pt idx="9">
                  <c:v>38</c:v>
                </c:pt>
                <c:pt idx="10">
                  <c:v>23</c:v>
                </c:pt>
                <c:pt idx="11">
                  <c:v>27</c:v>
                </c:pt>
                <c:pt idx="12">
                  <c:v>19</c:v>
                </c:pt>
                <c:pt idx="13">
                  <c:v>19</c:v>
                </c:pt>
                <c:pt idx="14">
                  <c:v>8</c:v>
                </c:pt>
                <c:pt idx="15">
                  <c:v>11</c:v>
                </c:pt>
                <c:pt idx="16">
                  <c:v>9</c:v>
                </c:pt>
                <c:pt idx="17">
                  <c:v>4</c:v>
                </c:pt>
                <c:pt idx="18">
                  <c:v>1</c:v>
                </c:pt>
                <c:pt idx="19">
                  <c:v>1</c:v>
                </c:pt>
              </c:numCache>
            </c:numRef>
          </c:val>
          <c:extLst>
            <c:ext xmlns:c16="http://schemas.microsoft.com/office/drawing/2014/chart" uri="{C3380CC4-5D6E-409C-BE32-E72D297353CC}">
              <c16:uniqueId val="{00000002-E09F-604B-8DA4-FFEB43CFCD1A}"/>
            </c:ext>
          </c:extLst>
        </c:ser>
        <c:dLbls>
          <c:showLegendKey val="0"/>
          <c:showVal val="0"/>
          <c:showCatName val="0"/>
          <c:showSerName val="0"/>
          <c:showPercent val="0"/>
          <c:showBubbleSize val="0"/>
        </c:dLbls>
        <c:gapWidth val="0"/>
        <c:overlap val="-27"/>
        <c:axId val="2081194431"/>
        <c:axId val="2081762239"/>
      </c:barChart>
      <c:catAx>
        <c:axId val="208119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62239"/>
        <c:crosses val="autoZero"/>
        <c:auto val="1"/>
        <c:lblAlgn val="ctr"/>
        <c:lblOffset val="100"/>
        <c:noMultiLvlLbl val="0"/>
      </c:catAx>
      <c:valAx>
        <c:axId val="208176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19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Points Scored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PTS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Data!$I$2:$I$514</c:f>
              <c:numCache>
                <c:formatCode>General</c:formatCode>
                <c:ptCount val="513"/>
                <c:pt idx="0">
                  <c:v>438</c:v>
                </c:pt>
                <c:pt idx="1">
                  <c:v>1898</c:v>
                </c:pt>
                <c:pt idx="2">
                  <c:v>865</c:v>
                </c:pt>
                <c:pt idx="3">
                  <c:v>1239</c:v>
                </c:pt>
                <c:pt idx="4">
                  <c:v>1015</c:v>
                </c:pt>
                <c:pt idx="5">
                  <c:v>398</c:v>
                </c:pt>
                <c:pt idx="6">
                  <c:v>1058</c:v>
                </c:pt>
                <c:pt idx="7">
                  <c:v>860</c:v>
                </c:pt>
                <c:pt idx="8">
                  <c:v>424</c:v>
                </c:pt>
                <c:pt idx="9">
                  <c:v>342</c:v>
                </c:pt>
                <c:pt idx="10">
                  <c:v>997</c:v>
                </c:pt>
                <c:pt idx="11">
                  <c:v>369</c:v>
                </c:pt>
                <c:pt idx="12">
                  <c:v>454</c:v>
                </c:pt>
                <c:pt idx="13">
                  <c:v>931</c:v>
                </c:pt>
                <c:pt idx="14">
                  <c:v>437</c:v>
                </c:pt>
                <c:pt idx="15">
                  <c:v>448</c:v>
                </c:pt>
                <c:pt idx="16">
                  <c:v>593</c:v>
                </c:pt>
                <c:pt idx="17">
                  <c:v>158</c:v>
                </c:pt>
                <c:pt idx="18">
                  <c:v>650</c:v>
                </c:pt>
                <c:pt idx="19">
                  <c:v>449</c:v>
                </c:pt>
                <c:pt idx="20">
                  <c:v>48</c:v>
                </c:pt>
                <c:pt idx="21">
                  <c:v>869</c:v>
                </c:pt>
                <c:pt idx="22">
                  <c:v>806</c:v>
                </c:pt>
                <c:pt idx="23">
                  <c:v>251</c:v>
                </c:pt>
                <c:pt idx="24">
                  <c:v>280</c:v>
                </c:pt>
                <c:pt idx="25">
                  <c:v>156</c:v>
                </c:pt>
                <c:pt idx="26">
                  <c:v>262</c:v>
                </c:pt>
                <c:pt idx="27">
                  <c:v>339</c:v>
                </c:pt>
                <c:pt idx="28">
                  <c:v>16</c:v>
                </c:pt>
                <c:pt idx="29">
                  <c:v>108</c:v>
                </c:pt>
                <c:pt idx="30">
                  <c:v>310</c:v>
                </c:pt>
                <c:pt idx="31">
                  <c:v>365</c:v>
                </c:pt>
                <c:pt idx="32">
                  <c:v>293</c:v>
                </c:pt>
                <c:pt idx="33">
                  <c:v>311</c:v>
                </c:pt>
                <c:pt idx="34">
                  <c:v>784</c:v>
                </c:pt>
                <c:pt idx="35">
                  <c:v>54</c:v>
                </c:pt>
                <c:pt idx="36">
                  <c:v>226</c:v>
                </c:pt>
                <c:pt idx="37">
                  <c:v>57</c:v>
                </c:pt>
                <c:pt idx="38">
                  <c:v>370</c:v>
                </c:pt>
                <c:pt idx="39">
                  <c:v>1639</c:v>
                </c:pt>
                <c:pt idx="40">
                  <c:v>352</c:v>
                </c:pt>
                <c:pt idx="41">
                  <c:v>606</c:v>
                </c:pt>
                <c:pt idx="42">
                  <c:v>627</c:v>
                </c:pt>
                <c:pt idx="43">
                  <c:v>337</c:v>
                </c:pt>
                <c:pt idx="44">
                  <c:v>806</c:v>
                </c:pt>
                <c:pt idx="45">
                  <c:v>300</c:v>
                </c:pt>
                <c:pt idx="46">
                  <c:v>482</c:v>
                </c:pt>
                <c:pt idx="47">
                  <c:v>106</c:v>
                </c:pt>
                <c:pt idx="48">
                  <c:v>236</c:v>
                </c:pt>
                <c:pt idx="49">
                  <c:v>380</c:v>
                </c:pt>
                <c:pt idx="50">
                  <c:v>423</c:v>
                </c:pt>
                <c:pt idx="51">
                  <c:v>258</c:v>
                </c:pt>
                <c:pt idx="52">
                  <c:v>687</c:v>
                </c:pt>
                <c:pt idx="53">
                  <c:v>20</c:v>
                </c:pt>
                <c:pt idx="54">
                  <c:v>15</c:v>
                </c:pt>
                <c:pt idx="55">
                  <c:v>183</c:v>
                </c:pt>
                <c:pt idx="56">
                  <c:v>366</c:v>
                </c:pt>
                <c:pt idx="57">
                  <c:v>310</c:v>
                </c:pt>
                <c:pt idx="58">
                  <c:v>1451</c:v>
                </c:pt>
                <c:pt idx="59">
                  <c:v>592</c:v>
                </c:pt>
                <c:pt idx="60">
                  <c:v>956</c:v>
                </c:pt>
                <c:pt idx="61">
                  <c:v>451</c:v>
                </c:pt>
                <c:pt idx="62">
                  <c:v>859</c:v>
                </c:pt>
                <c:pt idx="63">
                  <c:v>426</c:v>
                </c:pt>
                <c:pt idx="64">
                  <c:v>10</c:v>
                </c:pt>
                <c:pt idx="65">
                  <c:v>409</c:v>
                </c:pt>
                <c:pt idx="66">
                  <c:v>143</c:v>
                </c:pt>
                <c:pt idx="67">
                  <c:v>581</c:v>
                </c:pt>
                <c:pt idx="68">
                  <c:v>23</c:v>
                </c:pt>
                <c:pt idx="69">
                  <c:v>642</c:v>
                </c:pt>
                <c:pt idx="70">
                  <c:v>324</c:v>
                </c:pt>
                <c:pt idx="71">
                  <c:v>818</c:v>
                </c:pt>
                <c:pt idx="72">
                  <c:v>367</c:v>
                </c:pt>
                <c:pt idx="73">
                  <c:v>228</c:v>
                </c:pt>
                <c:pt idx="74">
                  <c:v>1197</c:v>
                </c:pt>
                <c:pt idx="75">
                  <c:v>324</c:v>
                </c:pt>
                <c:pt idx="76">
                  <c:v>754</c:v>
                </c:pt>
                <c:pt idx="77">
                  <c:v>331</c:v>
                </c:pt>
                <c:pt idx="78">
                  <c:v>537</c:v>
                </c:pt>
                <c:pt idx="79">
                  <c:v>231</c:v>
                </c:pt>
                <c:pt idx="80">
                  <c:v>417</c:v>
                </c:pt>
                <c:pt idx="81">
                  <c:v>145</c:v>
                </c:pt>
                <c:pt idx="82">
                  <c:v>256</c:v>
                </c:pt>
                <c:pt idx="83">
                  <c:v>4</c:v>
                </c:pt>
                <c:pt idx="84">
                  <c:v>30</c:v>
                </c:pt>
                <c:pt idx="85">
                  <c:v>482</c:v>
                </c:pt>
                <c:pt idx="86">
                  <c:v>0</c:v>
                </c:pt>
                <c:pt idx="87">
                  <c:v>212</c:v>
                </c:pt>
                <c:pt idx="88">
                  <c:v>51</c:v>
                </c:pt>
                <c:pt idx="89">
                  <c:v>241</c:v>
                </c:pt>
                <c:pt idx="90">
                  <c:v>46</c:v>
                </c:pt>
                <c:pt idx="91">
                  <c:v>0</c:v>
                </c:pt>
                <c:pt idx="92">
                  <c:v>13</c:v>
                </c:pt>
                <c:pt idx="93">
                  <c:v>47</c:v>
                </c:pt>
                <c:pt idx="94">
                  <c:v>113</c:v>
                </c:pt>
                <c:pt idx="95">
                  <c:v>1259</c:v>
                </c:pt>
                <c:pt idx="96">
                  <c:v>1292</c:v>
                </c:pt>
                <c:pt idx="97">
                  <c:v>786</c:v>
                </c:pt>
                <c:pt idx="98">
                  <c:v>1320</c:v>
                </c:pt>
                <c:pt idx="99">
                  <c:v>1316</c:v>
                </c:pt>
                <c:pt idx="100">
                  <c:v>1450</c:v>
                </c:pt>
                <c:pt idx="101">
                  <c:v>444</c:v>
                </c:pt>
                <c:pt idx="102">
                  <c:v>933</c:v>
                </c:pt>
                <c:pt idx="103">
                  <c:v>1225</c:v>
                </c:pt>
                <c:pt idx="104">
                  <c:v>765</c:v>
                </c:pt>
                <c:pt idx="105">
                  <c:v>716</c:v>
                </c:pt>
                <c:pt idx="106">
                  <c:v>849</c:v>
                </c:pt>
                <c:pt idx="107">
                  <c:v>711</c:v>
                </c:pt>
                <c:pt idx="108">
                  <c:v>178</c:v>
                </c:pt>
                <c:pt idx="109">
                  <c:v>593</c:v>
                </c:pt>
                <c:pt idx="110">
                  <c:v>1151</c:v>
                </c:pt>
                <c:pt idx="111">
                  <c:v>809</c:v>
                </c:pt>
                <c:pt idx="112">
                  <c:v>1647</c:v>
                </c:pt>
                <c:pt idx="113">
                  <c:v>854</c:v>
                </c:pt>
                <c:pt idx="114">
                  <c:v>396</c:v>
                </c:pt>
                <c:pt idx="115">
                  <c:v>603</c:v>
                </c:pt>
                <c:pt idx="116">
                  <c:v>608</c:v>
                </c:pt>
                <c:pt idx="117">
                  <c:v>496</c:v>
                </c:pt>
                <c:pt idx="118">
                  <c:v>353</c:v>
                </c:pt>
                <c:pt idx="119">
                  <c:v>471</c:v>
                </c:pt>
                <c:pt idx="120">
                  <c:v>73</c:v>
                </c:pt>
                <c:pt idx="121">
                  <c:v>375</c:v>
                </c:pt>
                <c:pt idx="122">
                  <c:v>115</c:v>
                </c:pt>
                <c:pt idx="123">
                  <c:v>12</c:v>
                </c:pt>
                <c:pt idx="124">
                  <c:v>53</c:v>
                </c:pt>
                <c:pt idx="125">
                  <c:v>970</c:v>
                </c:pt>
                <c:pt idx="126">
                  <c:v>341</c:v>
                </c:pt>
                <c:pt idx="127">
                  <c:v>573</c:v>
                </c:pt>
                <c:pt idx="128">
                  <c:v>590</c:v>
                </c:pt>
                <c:pt idx="129">
                  <c:v>84</c:v>
                </c:pt>
                <c:pt idx="130">
                  <c:v>231</c:v>
                </c:pt>
                <c:pt idx="131">
                  <c:v>315</c:v>
                </c:pt>
                <c:pt idx="132">
                  <c:v>874</c:v>
                </c:pt>
                <c:pt idx="133">
                  <c:v>1162</c:v>
                </c:pt>
                <c:pt idx="134">
                  <c:v>434</c:v>
                </c:pt>
                <c:pt idx="135">
                  <c:v>197</c:v>
                </c:pt>
                <c:pt idx="136">
                  <c:v>367</c:v>
                </c:pt>
                <c:pt idx="137">
                  <c:v>122</c:v>
                </c:pt>
                <c:pt idx="138">
                  <c:v>610</c:v>
                </c:pt>
                <c:pt idx="139">
                  <c:v>754</c:v>
                </c:pt>
                <c:pt idx="140">
                  <c:v>136</c:v>
                </c:pt>
                <c:pt idx="141">
                  <c:v>220</c:v>
                </c:pt>
                <c:pt idx="142">
                  <c:v>69</c:v>
                </c:pt>
                <c:pt idx="143">
                  <c:v>881</c:v>
                </c:pt>
                <c:pt idx="144">
                  <c:v>526</c:v>
                </c:pt>
                <c:pt idx="145">
                  <c:v>427</c:v>
                </c:pt>
                <c:pt idx="146">
                  <c:v>22</c:v>
                </c:pt>
                <c:pt idx="147">
                  <c:v>13</c:v>
                </c:pt>
                <c:pt idx="148">
                  <c:v>276</c:v>
                </c:pt>
                <c:pt idx="149">
                  <c:v>500</c:v>
                </c:pt>
                <c:pt idx="150">
                  <c:v>122</c:v>
                </c:pt>
                <c:pt idx="151">
                  <c:v>160</c:v>
                </c:pt>
                <c:pt idx="152">
                  <c:v>79</c:v>
                </c:pt>
                <c:pt idx="153">
                  <c:v>344</c:v>
                </c:pt>
                <c:pt idx="154">
                  <c:v>6</c:v>
                </c:pt>
                <c:pt idx="155">
                  <c:v>121</c:v>
                </c:pt>
                <c:pt idx="156">
                  <c:v>72</c:v>
                </c:pt>
                <c:pt idx="157">
                  <c:v>540</c:v>
                </c:pt>
                <c:pt idx="158">
                  <c:v>407</c:v>
                </c:pt>
                <c:pt idx="159">
                  <c:v>924</c:v>
                </c:pt>
                <c:pt idx="160">
                  <c:v>481</c:v>
                </c:pt>
                <c:pt idx="161">
                  <c:v>35</c:v>
                </c:pt>
                <c:pt idx="162">
                  <c:v>28</c:v>
                </c:pt>
                <c:pt idx="163">
                  <c:v>85</c:v>
                </c:pt>
                <c:pt idx="164">
                  <c:v>139</c:v>
                </c:pt>
                <c:pt idx="165">
                  <c:v>381</c:v>
                </c:pt>
                <c:pt idx="166">
                  <c:v>533</c:v>
                </c:pt>
                <c:pt idx="167">
                  <c:v>20</c:v>
                </c:pt>
                <c:pt idx="168">
                  <c:v>794</c:v>
                </c:pt>
                <c:pt idx="169">
                  <c:v>15</c:v>
                </c:pt>
                <c:pt idx="170">
                  <c:v>390</c:v>
                </c:pt>
                <c:pt idx="171">
                  <c:v>502</c:v>
                </c:pt>
                <c:pt idx="172">
                  <c:v>68</c:v>
                </c:pt>
                <c:pt idx="173">
                  <c:v>31</c:v>
                </c:pt>
                <c:pt idx="174">
                  <c:v>419</c:v>
                </c:pt>
                <c:pt idx="175">
                  <c:v>65</c:v>
                </c:pt>
                <c:pt idx="176">
                  <c:v>18</c:v>
                </c:pt>
                <c:pt idx="177">
                  <c:v>39</c:v>
                </c:pt>
                <c:pt idx="178">
                  <c:v>44</c:v>
                </c:pt>
                <c:pt idx="179">
                  <c:v>12</c:v>
                </c:pt>
                <c:pt idx="180">
                  <c:v>39</c:v>
                </c:pt>
                <c:pt idx="181">
                  <c:v>64</c:v>
                </c:pt>
                <c:pt idx="182">
                  <c:v>12</c:v>
                </c:pt>
                <c:pt idx="183">
                  <c:v>116</c:v>
                </c:pt>
                <c:pt idx="184">
                  <c:v>133</c:v>
                </c:pt>
                <c:pt idx="185">
                  <c:v>86</c:v>
                </c:pt>
                <c:pt idx="186">
                  <c:v>246</c:v>
                </c:pt>
                <c:pt idx="187">
                  <c:v>271</c:v>
                </c:pt>
                <c:pt idx="188">
                  <c:v>618</c:v>
                </c:pt>
                <c:pt idx="189">
                  <c:v>719</c:v>
                </c:pt>
                <c:pt idx="190">
                  <c:v>368</c:v>
                </c:pt>
                <c:pt idx="191">
                  <c:v>945</c:v>
                </c:pt>
                <c:pt idx="192">
                  <c:v>389</c:v>
                </c:pt>
                <c:pt idx="193">
                  <c:v>246</c:v>
                </c:pt>
                <c:pt idx="194">
                  <c:v>102</c:v>
                </c:pt>
                <c:pt idx="195">
                  <c:v>193</c:v>
                </c:pt>
                <c:pt idx="196">
                  <c:v>183</c:v>
                </c:pt>
                <c:pt idx="197">
                  <c:v>134</c:v>
                </c:pt>
                <c:pt idx="198">
                  <c:v>194</c:v>
                </c:pt>
                <c:pt idx="199">
                  <c:v>161</c:v>
                </c:pt>
                <c:pt idx="200">
                  <c:v>107</c:v>
                </c:pt>
                <c:pt idx="201">
                  <c:v>119</c:v>
                </c:pt>
                <c:pt idx="202">
                  <c:v>31</c:v>
                </c:pt>
                <c:pt idx="203">
                  <c:v>99</c:v>
                </c:pt>
                <c:pt idx="204">
                  <c:v>604</c:v>
                </c:pt>
                <c:pt idx="205">
                  <c:v>559</c:v>
                </c:pt>
                <c:pt idx="206">
                  <c:v>274</c:v>
                </c:pt>
                <c:pt idx="207">
                  <c:v>32</c:v>
                </c:pt>
                <c:pt idx="208">
                  <c:v>146</c:v>
                </c:pt>
                <c:pt idx="209">
                  <c:v>505</c:v>
                </c:pt>
                <c:pt idx="210">
                  <c:v>245</c:v>
                </c:pt>
                <c:pt idx="211">
                  <c:v>242</c:v>
                </c:pt>
                <c:pt idx="212">
                  <c:v>72</c:v>
                </c:pt>
                <c:pt idx="213">
                  <c:v>156</c:v>
                </c:pt>
                <c:pt idx="214">
                  <c:v>95</c:v>
                </c:pt>
                <c:pt idx="215">
                  <c:v>91</c:v>
                </c:pt>
                <c:pt idx="216">
                  <c:v>943</c:v>
                </c:pt>
                <c:pt idx="217">
                  <c:v>1116</c:v>
                </c:pt>
                <c:pt idx="218">
                  <c:v>1210</c:v>
                </c:pt>
                <c:pt idx="219">
                  <c:v>1385</c:v>
                </c:pt>
                <c:pt idx="220">
                  <c:v>305</c:v>
                </c:pt>
                <c:pt idx="221">
                  <c:v>1196</c:v>
                </c:pt>
                <c:pt idx="222">
                  <c:v>863</c:v>
                </c:pt>
                <c:pt idx="223">
                  <c:v>1717</c:v>
                </c:pt>
                <c:pt idx="224">
                  <c:v>1260</c:v>
                </c:pt>
                <c:pt idx="225">
                  <c:v>676</c:v>
                </c:pt>
                <c:pt idx="226">
                  <c:v>1205</c:v>
                </c:pt>
                <c:pt idx="227">
                  <c:v>1712</c:v>
                </c:pt>
                <c:pt idx="228">
                  <c:v>974</c:v>
                </c:pt>
                <c:pt idx="229">
                  <c:v>654</c:v>
                </c:pt>
                <c:pt idx="230">
                  <c:v>655</c:v>
                </c:pt>
                <c:pt idx="231">
                  <c:v>275</c:v>
                </c:pt>
                <c:pt idx="232">
                  <c:v>823</c:v>
                </c:pt>
                <c:pt idx="233">
                  <c:v>282</c:v>
                </c:pt>
                <c:pt idx="234">
                  <c:v>62</c:v>
                </c:pt>
                <c:pt idx="235">
                  <c:v>327</c:v>
                </c:pt>
                <c:pt idx="236">
                  <c:v>1692</c:v>
                </c:pt>
                <c:pt idx="237">
                  <c:v>613</c:v>
                </c:pt>
                <c:pt idx="238">
                  <c:v>344</c:v>
                </c:pt>
                <c:pt idx="239">
                  <c:v>899</c:v>
                </c:pt>
                <c:pt idx="240">
                  <c:v>655</c:v>
                </c:pt>
                <c:pt idx="241">
                  <c:v>695</c:v>
                </c:pt>
                <c:pt idx="242">
                  <c:v>213</c:v>
                </c:pt>
                <c:pt idx="243">
                  <c:v>253</c:v>
                </c:pt>
                <c:pt idx="244">
                  <c:v>789</c:v>
                </c:pt>
                <c:pt idx="245">
                  <c:v>163</c:v>
                </c:pt>
                <c:pt idx="246">
                  <c:v>342</c:v>
                </c:pt>
                <c:pt idx="247">
                  <c:v>292</c:v>
                </c:pt>
                <c:pt idx="248">
                  <c:v>709</c:v>
                </c:pt>
                <c:pt idx="249">
                  <c:v>1111</c:v>
                </c:pt>
                <c:pt idx="250">
                  <c:v>824</c:v>
                </c:pt>
                <c:pt idx="251">
                  <c:v>5</c:v>
                </c:pt>
                <c:pt idx="252">
                  <c:v>840</c:v>
                </c:pt>
                <c:pt idx="253">
                  <c:v>682</c:v>
                </c:pt>
                <c:pt idx="254">
                  <c:v>267</c:v>
                </c:pt>
                <c:pt idx="255">
                  <c:v>218</c:v>
                </c:pt>
                <c:pt idx="256">
                  <c:v>285</c:v>
                </c:pt>
                <c:pt idx="257">
                  <c:v>345</c:v>
                </c:pt>
                <c:pt idx="258">
                  <c:v>349</c:v>
                </c:pt>
                <c:pt idx="259">
                  <c:v>857</c:v>
                </c:pt>
                <c:pt idx="260">
                  <c:v>304</c:v>
                </c:pt>
                <c:pt idx="261">
                  <c:v>294</c:v>
                </c:pt>
                <c:pt idx="262">
                  <c:v>161</c:v>
                </c:pt>
                <c:pt idx="263">
                  <c:v>260</c:v>
                </c:pt>
                <c:pt idx="264">
                  <c:v>293</c:v>
                </c:pt>
                <c:pt idx="265">
                  <c:v>166</c:v>
                </c:pt>
                <c:pt idx="266">
                  <c:v>78</c:v>
                </c:pt>
                <c:pt idx="267">
                  <c:v>942</c:v>
                </c:pt>
                <c:pt idx="268">
                  <c:v>134</c:v>
                </c:pt>
                <c:pt idx="269">
                  <c:v>317</c:v>
                </c:pt>
                <c:pt idx="270">
                  <c:v>750</c:v>
                </c:pt>
                <c:pt idx="271">
                  <c:v>92</c:v>
                </c:pt>
                <c:pt idx="272">
                  <c:v>376</c:v>
                </c:pt>
                <c:pt idx="273">
                  <c:v>264</c:v>
                </c:pt>
                <c:pt idx="274">
                  <c:v>207</c:v>
                </c:pt>
                <c:pt idx="275">
                  <c:v>346</c:v>
                </c:pt>
                <c:pt idx="276">
                  <c:v>111</c:v>
                </c:pt>
                <c:pt idx="277">
                  <c:v>157</c:v>
                </c:pt>
                <c:pt idx="278">
                  <c:v>15</c:v>
                </c:pt>
                <c:pt idx="279">
                  <c:v>80</c:v>
                </c:pt>
                <c:pt idx="280">
                  <c:v>236</c:v>
                </c:pt>
                <c:pt idx="281">
                  <c:v>171</c:v>
                </c:pt>
                <c:pt idx="282">
                  <c:v>229</c:v>
                </c:pt>
                <c:pt idx="283">
                  <c:v>370</c:v>
                </c:pt>
                <c:pt idx="284">
                  <c:v>165</c:v>
                </c:pt>
                <c:pt idx="285">
                  <c:v>88</c:v>
                </c:pt>
                <c:pt idx="286">
                  <c:v>14</c:v>
                </c:pt>
                <c:pt idx="287">
                  <c:v>78</c:v>
                </c:pt>
                <c:pt idx="288">
                  <c:v>124</c:v>
                </c:pt>
                <c:pt idx="289">
                  <c:v>94</c:v>
                </c:pt>
                <c:pt idx="290">
                  <c:v>218</c:v>
                </c:pt>
                <c:pt idx="291">
                  <c:v>17</c:v>
                </c:pt>
                <c:pt idx="292">
                  <c:v>44</c:v>
                </c:pt>
                <c:pt idx="293">
                  <c:v>111</c:v>
                </c:pt>
                <c:pt idx="294">
                  <c:v>2015</c:v>
                </c:pt>
                <c:pt idx="295">
                  <c:v>1149</c:v>
                </c:pt>
                <c:pt idx="296">
                  <c:v>823</c:v>
                </c:pt>
                <c:pt idx="297">
                  <c:v>1126</c:v>
                </c:pt>
                <c:pt idx="298">
                  <c:v>827</c:v>
                </c:pt>
                <c:pt idx="299">
                  <c:v>1928</c:v>
                </c:pt>
                <c:pt idx="300">
                  <c:v>1712</c:v>
                </c:pt>
                <c:pt idx="301">
                  <c:v>1087</c:v>
                </c:pt>
                <c:pt idx="302">
                  <c:v>796</c:v>
                </c:pt>
                <c:pt idx="303">
                  <c:v>1018</c:v>
                </c:pt>
                <c:pt idx="304">
                  <c:v>1176</c:v>
                </c:pt>
                <c:pt idx="305">
                  <c:v>1163</c:v>
                </c:pt>
                <c:pt idx="306">
                  <c:v>582</c:v>
                </c:pt>
                <c:pt idx="307">
                  <c:v>869</c:v>
                </c:pt>
                <c:pt idx="308">
                  <c:v>481</c:v>
                </c:pt>
                <c:pt idx="309">
                  <c:v>941</c:v>
                </c:pt>
                <c:pt idx="310">
                  <c:v>1051</c:v>
                </c:pt>
                <c:pt idx="311">
                  <c:v>736</c:v>
                </c:pt>
                <c:pt idx="312">
                  <c:v>724</c:v>
                </c:pt>
                <c:pt idx="313">
                  <c:v>278</c:v>
                </c:pt>
                <c:pt idx="314">
                  <c:v>653</c:v>
                </c:pt>
                <c:pt idx="315">
                  <c:v>1251</c:v>
                </c:pt>
                <c:pt idx="316">
                  <c:v>802</c:v>
                </c:pt>
                <c:pt idx="317">
                  <c:v>715</c:v>
                </c:pt>
                <c:pt idx="318">
                  <c:v>1392</c:v>
                </c:pt>
                <c:pt idx="319">
                  <c:v>472</c:v>
                </c:pt>
                <c:pt idx="320">
                  <c:v>1204</c:v>
                </c:pt>
                <c:pt idx="321">
                  <c:v>442</c:v>
                </c:pt>
                <c:pt idx="322">
                  <c:v>1461</c:v>
                </c:pt>
                <c:pt idx="323">
                  <c:v>1830</c:v>
                </c:pt>
                <c:pt idx="324">
                  <c:v>180</c:v>
                </c:pt>
                <c:pt idx="325">
                  <c:v>520</c:v>
                </c:pt>
                <c:pt idx="326">
                  <c:v>1401</c:v>
                </c:pt>
                <c:pt idx="327">
                  <c:v>830</c:v>
                </c:pt>
                <c:pt idx="328">
                  <c:v>248</c:v>
                </c:pt>
                <c:pt idx="329">
                  <c:v>753</c:v>
                </c:pt>
                <c:pt idx="330">
                  <c:v>343</c:v>
                </c:pt>
                <c:pt idx="331">
                  <c:v>279</c:v>
                </c:pt>
                <c:pt idx="332">
                  <c:v>553</c:v>
                </c:pt>
                <c:pt idx="333">
                  <c:v>508</c:v>
                </c:pt>
                <c:pt idx="334">
                  <c:v>396</c:v>
                </c:pt>
                <c:pt idx="335">
                  <c:v>411</c:v>
                </c:pt>
                <c:pt idx="336">
                  <c:v>669</c:v>
                </c:pt>
                <c:pt idx="337">
                  <c:v>101</c:v>
                </c:pt>
                <c:pt idx="338">
                  <c:v>370</c:v>
                </c:pt>
                <c:pt idx="339">
                  <c:v>316</c:v>
                </c:pt>
                <c:pt idx="340">
                  <c:v>532</c:v>
                </c:pt>
                <c:pt idx="341">
                  <c:v>353</c:v>
                </c:pt>
                <c:pt idx="342">
                  <c:v>502</c:v>
                </c:pt>
                <c:pt idx="343">
                  <c:v>184</c:v>
                </c:pt>
                <c:pt idx="344">
                  <c:v>612</c:v>
                </c:pt>
                <c:pt idx="345">
                  <c:v>658</c:v>
                </c:pt>
                <c:pt idx="346">
                  <c:v>505</c:v>
                </c:pt>
                <c:pt idx="347">
                  <c:v>625</c:v>
                </c:pt>
                <c:pt idx="348">
                  <c:v>373</c:v>
                </c:pt>
                <c:pt idx="349">
                  <c:v>385</c:v>
                </c:pt>
                <c:pt idx="350">
                  <c:v>431</c:v>
                </c:pt>
                <c:pt idx="351">
                  <c:v>857</c:v>
                </c:pt>
                <c:pt idx="352">
                  <c:v>23</c:v>
                </c:pt>
                <c:pt idx="353">
                  <c:v>190</c:v>
                </c:pt>
                <c:pt idx="354">
                  <c:v>133</c:v>
                </c:pt>
                <c:pt idx="355">
                  <c:v>416</c:v>
                </c:pt>
                <c:pt idx="356">
                  <c:v>715</c:v>
                </c:pt>
                <c:pt idx="357">
                  <c:v>481</c:v>
                </c:pt>
                <c:pt idx="358">
                  <c:v>105</c:v>
                </c:pt>
                <c:pt idx="359">
                  <c:v>337</c:v>
                </c:pt>
                <c:pt idx="360">
                  <c:v>379</c:v>
                </c:pt>
                <c:pt idx="361">
                  <c:v>472</c:v>
                </c:pt>
                <c:pt idx="362">
                  <c:v>729</c:v>
                </c:pt>
                <c:pt idx="363">
                  <c:v>585</c:v>
                </c:pt>
                <c:pt idx="364">
                  <c:v>11</c:v>
                </c:pt>
                <c:pt idx="365">
                  <c:v>40</c:v>
                </c:pt>
                <c:pt idx="366">
                  <c:v>94</c:v>
                </c:pt>
                <c:pt idx="367">
                  <c:v>9</c:v>
                </c:pt>
                <c:pt idx="368">
                  <c:v>41</c:v>
                </c:pt>
                <c:pt idx="369">
                  <c:v>35</c:v>
                </c:pt>
                <c:pt idx="370">
                  <c:v>46</c:v>
                </c:pt>
                <c:pt idx="371">
                  <c:v>87</c:v>
                </c:pt>
                <c:pt idx="372">
                  <c:v>140</c:v>
                </c:pt>
                <c:pt idx="373">
                  <c:v>105</c:v>
                </c:pt>
                <c:pt idx="374">
                  <c:v>88</c:v>
                </c:pt>
                <c:pt idx="375">
                  <c:v>223</c:v>
                </c:pt>
                <c:pt idx="376">
                  <c:v>123</c:v>
                </c:pt>
                <c:pt idx="377">
                  <c:v>256</c:v>
                </c:pt>
                <c:pt idx="378">
                  <c:v>301</c:v>
                </c:pt>
                <c:pt idx="379">
                  <c:v>8</c:v>
                </c:pt>
                <c:pt idx="380">
                  <c:v>82</c:v>
                </c:pt>
                <c:pt idx="381">
                  <c:v>40</c:v>
                </c:pt>
                <c:pt idx="382">
                  <c:v>25</c:v>
                </c:pt>
                <c:pt idx="383">
                  <c:v>1083</c:v>
                </c:pt>
                <c:pt idx="384">
                  <c:v>652</c:v>
                </c:pt>
                <c:pt idx="385">
                  <c:v>388</c:v>
                </c:pt>
                <c:pt idx="386">
                  <c:v>948</c:v>
                </c:pt>
                <c:pt idx="387">
                  <c:v>327</c:v>
                </c:pt>
                <c:pt idx="388">
                  <c:v>517</c:v>
                </c:pt>
                <c:pt idx="389">
                  <c:v>1283</c:v>
                </c:pt>
                <c:pt idx="390">
                  <c:v>261</c:v>
                </c:pt>
                <c:pt idx="391">
                  <c:v>645</c:v>
                </c:pt>
                <c:pt idx="392">
                  <c:v>749</c:v>
                </c:pt>
                <c:pt idx="393">
                  <c:v>734</c:v>
                </c:pt>
                <c:pt idx="394">
                  <c:v>242</c:v>
                </c:pt>
                <c:pt idx="395">
                  <c:v>438</c:v>
                </c:pt>
                <c:pt idx="396">
                  <c:v>154</c:v>
                </c:pt>
                <c:pt idx="397">
                  <c:v>173</c:v>
                </c:pt>
                <c:pt idx="398">
                  <c:v>406</c:v>
                </c:pt>
                <c:pt idx="399">
                  <c:v>336</c:v>
                </c:pt>
                <c:pt idx="400">
                  <c:v>354</c:v>
                </c:pt>
                <c:pt idx="401">
                  <c:v>888</c:v>
                </c:pt>
                <c:pt idx="402">
                  <c:v>76</c:v>
                </c:pt>
                <c:pt idx="403">
                  <c:v>73</c:v>
                </c:pt>
                <c:pt idx="404">
                  <c:v>139</c:v>
                </c:pt>
                <c:pt idx="405">
                  <c:v>533</c:v>
                </c:pt>
                <c:pt idx="406">
                  <c:v>127</c:v>
                </c:pt>
                <c:pt idx="407">
                  <c:v>371</c:v>
                </c:pt>
                <c:pt idx="408">
                  <c:v>41</c:v>
                </c:pt>
                <c:pt idx="409">
                  <c:v>125</c:v>
                </c:pt>
                <c:pt idx="410">
                  <c:v>56</c:v>
                </c:pt>
                <c:pt idx="411">
                  <c:v>285</c:v>
                </c:pt>
                <c:pt idx="412">
                  <c:v>1445</c:v>
                </c:pt>
                <c:pt idx="413">
                  <c:v>829</c:v>
                </c:pt>
                <c:pt idx="414">
                  <c:v>1451</c:v>
                </c:pt>
                <c:pt idx="415">
                  <c:v>829</c:v>
                </c:pt>
                <c:pt idx="416">
                  <c:v>791</c:v>
                </c:pt>
                <c:pt idx="417">
                  <c:v>1878</c:v>
                </c:pt>
                <c:pt idx="418">
                  <c:v>1046</c:v>
                </c:pt>
                <c:pt idx="419">
                  <c:v>1430</c:v>
                </c:pt>
                <c:pt idx="420">
                  <c:v>1019</c:v>
                </c:pt>
                <c:pt idx="421">
                  <c:v>1186</c:v>
                </c:pt>
                <c:pt idx="422">
                  <c:v>1591</c:v>
                </c:pt>
                <c:pt idx="423">
                  <c:v>1407</c:v>
                </c:pt>
                <c:pt idx="424">
                  <c:v>720</c:v>
                </c:pt>
                <c:pt idx="425">
                  <c:v>672</c:v>
                </c:pt>
                <c:pt idx="426">
                  <c:v>717</c:v>
                </c:pt>
                <c:pt idx="427">
                  <c:v>627</c:v>
                </c:pt>
                <c:pt idx="428">
                  <c:v>103</c:v>
                </c:pt>
                <c:pt idx="429">
                  <c:v>249</c:v>
                </c:pt>
                <c:pt idx="430">
                  <c:v>20</c:v>
                </c:pt>
                <c:pt idx="431">
                  <c:v>363</c:v>
                </c:pt>
                <c:pt idx="432">
                  <c:v>447</c:v>
                </c:pt>
                <c:pt idx="433">
                  <c:v>23</c:v>
                </c:pt>
                <c:pt idx="434">
                  <c:v>1264</c:v>
                </c:pt>
                <c:pt idx="435">
                  <c:v>803</c:v>
                </c:pt>
                <c:pt idx="436">
                  <c:v>711</c:v>
                </c:pt>
                <c:pt idx="437">
                  <c:v>941</c:v>
                </c:pt>
                <c:pt idx="438">
                  <c:v>1594</c:v>
                </c:pt>
                <c:pt idx="439">
                  <c:v>646</c:v>
                </c:pt>
                <c:pt idx="440">
                  <c:v>89</c:v>
                </c:pt>
                <c:pt idx="441">
                  <c:v>295</c:v>
                </c:pt>
                <c:pt idx="442">
                  <c:v>623</c:v>
                </c:pt>
                <c:pt idx="443">
                  <c:v>756</c:v>
                </c:pt>
                <c:pt idx="444">
                  <c:v>1041</c:v>
                </c:pt>
                <c:pt idx="445">
                  <c:v>490</c:v>
                </c:pt>
                <c:pt idx="446">
                  <c:v>176</c:v>
                </c:pt>
                <c:pt idx="447">
                  <c:v>91</c:v>
                </c:pt>
                <c:pt idx="448">
                  <c:v>1460</c:v>
                </c:pt>
                <c:pt idx="449">
                  <c:v>468</c:v>
                </c:pt>
                <c:pt idx="450">
                  <c:v>5</c:v>
                </c:pt>
                <c:pt idx="451">
                  <c:v>423</c:v>
                </c:pt>
                <c:pt idx="452">
                  <c:v>639</c:v>
                </c:pt>
                <c:pt idx="453">
                  <c:v>828</c:v>
                </c:pt>
                <c:pt idx="454">
                  <c:v>406</c:v>
                </c:pt>
                <c:pt idx="455">
                  <c:v>2</c:v>
                </c:pt>
                <c:pt idx="456">
                  <c:v>83</c:v>
                </c:pt>
                <c:pt idx="457">
                  <c:v>56</c:v>
                </c:pt>
                <c:pt idx="458">
                  <c:v>596</c:v>
                </c:pt>
                <c:pt idx="459">
                  <c:v>274</c:v>
                </c:pt>
                <c:pt idx="460">
                  <c:v>605</c:v>
                </c:pt>
                <c:pt idx="461">
                  <c:v>688</c:v>
                </c:pt>
                <c:pt idx="462">
                  <c:v>136</c:v>
                </c:pt>
                <c:pt idx="463">
                  <c:v>822</c:v>
                </c:pt>
                <c:pt idx="464">
                  <c:v>255</c:v>
                </c:pt>
                <c:pt idx="465">
                  <c:v>815</c:v>
                </c:pt>
                <c:pt idx="466">
                  <c:v>488</c:v>
                </c:pt>
                <c:pt idx="467">
                  <c:v>475</c:v>
                </c:pt>
                <c:pt idx="468">
                  <c:v>701</c:v>
                </c:pt>
                <c:pt idx="469">
                  <c:v>510</c:v>
                </c:pt>
                <c:pt idx="470">
                  <c:v>399</c:v>
                </c:pt>
                <c:pt idx="471">
                  <c:v>731</c:v>
                </c:pt>
                <c:pt idx="472">
                  <c:v>567</c:v>
                </c:pt>
                <c:pt idx="473">
                  <c:v>308</c:v>
                </c:pt>
                <c:pt idx="474">
                  <c:v>353</c:v>
                </c:pt>
                <c:pt idx="475">
                  <c:v>501</c:v>
                </c:pt>
                <c:pt idx="476">
                  <c:v>228</c:v>
                </c:pt>
                <c:pt idx="477">
                  <c:v>817</c:v>
                </c:pt>
                <c:pt idx="478">
                  <c:v>573</c:v>
                </c:pt>
                <c:pt idx="479">
                  <c:v>816</c:v>
                </c:pt>
                <c:pt idx="480">
                  <c:v>36</c:v>
                </c:pt>
                <c:pt idx="481">
                  <c:v>210</c:v>
                </c:pt>
                <c:pt idx="482">
                  <c:v>442</c:v>
                </c:pt>
                <c:pt idx="483">
                  <c:v>788</c:v>
                </c:pt>
                <c:pt idx="484">
                  <c:v>557</c:v>
                </c:pt>
                <c:pt idx="485">
                  <c:v>5</c:v>
                </c:pt>
                <c:pt idx="486">
                  <c:v>34</c:v>
                </c:pt>
                <c:pt idx="487">
                  <c:v>123</c:v>
                </c:pt>
                <c:pt idx="488">
                  <c:v>2</c:v>
                </c:pt>
                <c:pt idx="489">
                  <c:v>2</c:v>
                </c:pt>
                <c:pt idx="490">
                  <c:v>6</c:v>
                </c:pt>
                <c:pt idx="491">
                  <c:v>41</c:v>
                </c:pt>
                <c:pt idx="492">
                  <c:v>89</c:v>
                </c:pt>
                <c:pt idx="493">
                  <c:v>153</c:v>
                </c:pt>
                <c:pt idx="494">
                  <c:v>23</c:v>
                </c:pt>
                <c:pt idx="495">
                  <c:v>18</c:v>
                </c:pt>
                <c:pt idx="496">
                  <c:v>36</c:v>
                </c:pt>
                <c:pt idx="497">
                  <c:v>9</c:v>
                </c:pt>
                <c:pt idx="498">
                  <c:v>3</c:v>
                </c:pt>
                <c:pt idx="499">
                  <c:v>15</c:v>
                </c:pt>
                <c:pt idx="500">
                  <c:v>41</c:v>
                </c:pt>
                <c:pt idx="501">
                  <c:v>22</c:v>
                </c:pt>
                <c:pt idx="502">
                  <c:v>124</c:v>
                </c:pt>
                <c:pt idx="503">
                  <c:v>354</c:v>
                </c:pt>
                <c:pt idx="504">
                  <c:v>88</c:v>
                </c:pt>
                <c:pt idx="505">
                  <c:v>99</c:v>
                </c:pt>
                <c:pt idx="506">
                  <c:v>242</c:v>
                </c:pt>
                <c:pt idx="507">
                  <c:v>390</c:v>
                </c:pt>
                <c:pt idx="508">
                  <c:v>266</c:v>
                </c:pt>
                <c:pt idx="509">
                  <c:v>267</c:v>
                </c:pt>
                <c:pt idx="510">
                  <c:v>816</c:v>
                </c:pt>
                <c:pt idx="511">
                  <c:v>100</c:v>
                </c:pt>
                <c:pt idx="512">
                  <c:v>16</c:v>
                </c:pt>
              </c:numCache>
            </c:numRef>
          </c:yVal>
          <c:smooth val="0"/>
          <c:extLst>
            <c:ext xmlns:c16="http://schemas.microsoft.com/office/drawing/2014/chart" uri="{C3380CC4-5D6E-409C-BE32-E72D297353CC}">
              <c16:uniqueId val="{00000000-53A6-5749-B2C8-B5A35A0CA4C4}"/>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Rebounds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Rebounds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Data!$F$2:$F$514</c:f>
              <c:numCache>
                <c:formatCode>General</c:formatCode>
                <c:ptCount val="513"/>
                <c:pt idx="0">
                  <c:v>514</c:v>
                </c:pt>
                <c:pt idx="1">
                  <c:v>780</c:v>
                </c:pt>
                <c:pt idx="2">
                  <c:v>381</c:v>
                </c:pt>
                <c:pt idx="3">
                  <c:v>529</c:v>
                </c:pt>
                <c:pt idx="4">
                  <c:v>960</c:v>
                </c:pt>
                <c:pt idx="5">
                  <c:v>188</c:v>
                </c:pt>
                <c:pt idx="6">
                  <c:v>776</c:v>
                </c:pt>
                <c:pt idx="7">
                  <c:v>395</c:v>
                </c:pt>
                <c:pt idx="8">
                  <c:v>332</c:v>
                </c:pt>
                <c:pt idx="9">
                  <c:v>234</c:v>
                </c:pt>
                <c:pt idx="10">
                  <c:v>727</c:v>
                </c:pt>
                <c:pt idx="11">
                  <c:v>376</c:v>
                </c:pt>
                <c:pt idx="12">
                  <c:v>275</c:v>
                </c:pt>
                <c:pt idx="13">
                  <c:v>428</c:v>
                </c:pt>
                <c:pt idx="14">
                  <c:v>190</c:v>
                </c:pt>
                <c:pt idx="15">
                  <c:v>226</c:v>
                </c:pt>
                <c:pt idx="16">
                  <c:v>547</c:v>
                </c:pt>
                <c:pt idx="17">
                  <c:v>62</c:v>
                </c:pt>
                <c:pt idx="18">
                  <c:v>519</c:v>
                </c:pt>
                <c:pt idx="19">
                  <c:v>257</c:v>
                </c:pt>
                <c:pt idx="20">
                  <c:v>115</c:v>
                </c:pt>
                <c:pt idx="21">
                  <c:v>504</c:v>
                </c:pt>
                <c:pt idx="22">
                  <c:v>795</c:v>
                </c:pt>
                <c:pt idx="23">
                  <c:v>322</c:v>
                </c:pt>
                <c:pt idx="24">
                  <c:v>236</c:v>
                </c:pt>
                <c:pt idx="25">
                  <c:v>128</c:v>
                </c:pt>
                <c:pt idx="26">
                  <c:v>215</c:v>
                </c:pt>
                <c:pt idx="27">
                  <c:v>132</c:v>
                </c:pt>
                <c:pt idx="28">
                  <c:v>13</c:v>
                </c:pt>
                <c:pt idx="29">
                  <c:v>133</c:v>
                </c:pt>
                <c:pt idx="30">
                  <c:v>188</c:v>
                </c:pt>
                <c:pt idx="31">
                  <c:v>334</c:v>
                </c:pt>
                <c:pt idx="32">
                  <c:v>215</c:v>
                </c:pt>
                <c:pt idx="33">
                  <c:v>241</c:v>
                </c:pt>
                <c:pt idx="34">
                  <c:v>322</c:v>
                </c:pt>
                <c:pt idx="35">
                  <c:v>48</c:v>
                </c:pt>
                <c:pt idx="36">
                  <c:v>112</c:v>
                </c:pt>
                <c:pt idx="37">
                  <c:v>24</c:v>
                </c:pt>
                <c:pt idx="38">
                  <c:v>383</c:v>
                </c:pt>
                <c:pt idx="39">
                  <c:v>817</c:v>
                </c:pt>
                <c:pt idx="40">
                  <c:v>118</c:v>
                </c:pt>
                <c:pt idx="41">
                  <c:v>443</c:v>
                </c:pt>
                <c:pt idx="42">
                  <c:v>356</c:v>
                </c:pt>
                <c:pt idx="43">
                  <c:v>239</c:v>
                </c:pt>
                <c:pt idx="44">
                  <c:v>631</c:v>
                </c:pt>
                <c:pt idx="45">
                  <c:v>239</c:v>
                </c:pt>
                <c:pt idx="46">
                  <c:v>387</c:v>
                </c:pt>
                <c:pt idx="47">
                  <c:v>67</c:v>
                </c:pt>
                <c:pt idx="48">
                  <c:v>181</c:v>
                </c:pt>
                <c:pt idx="49">
                  <c:v>231</c:v>
                </c:pt>
                <c:pt idx="50">
                  <c:v>260</c:v>
                </c:pt>
                <c:pt idx="51">
                  <c:v>140</c:v>
                </c:pt>
                <c:pt idx="52">
                  <c:v>551</c:v>
                </c:pt>
                <c:pt idx="53">
                  <c:v>19</c:v>
                </c:pt>
                <c:pt idx="54">
                  <c:v>24</c:v>
                </c:pt>
                <c:pt idx="55">
                  <c:v>121</c:v>
                </c:pt>
                <c:pt idx="56">
                  <c:v>263</c:v>
                </c:pt>
                <c:pt idx="57">
                  <c:v>146</c:v>
                </c:pt>
                <c:pt idx="58">
                  <c:v>539</c:v>
                </c:pt>
                <c:pt idx="59">
                  <c:v>306</c:v>
                </c:pt>
                <c:pt idx="60">
                  <c:v>903</c:v>
                </c:pt>
                <c:pt idx="61">
                  <c:v>328</c:v>
                </c:pt>
                <c:pt idx="62">
                  <c:v>347</c:v>
                </c:pt>
                <c:pt idx="63">
                  <c:v>427</c:v>
                </c:pt>
                <c:pt idx="64">
                  <c:v>7</c:v>
                </c:pt>
                <c:pt idx="65">
                  <c:v>439</c:v>
                </c:pt>
                <c:pt idx="66">
                  <c:v>61</c:v>
                </c:pt>
                <c:pt idx="67">
                  <c:v>519</c:v>
                </c:pt>
                <c:pt idx="68">
                  <c:v>26</c:v>
                </c:pt>
                <c:pt idx="69">
                  <c:v>272</c:v>
                </c:pt>
                <c:pt idx="70">
                  <c:v>273</c:v>
                </c:pt>
                <c:pt idx="71">
                  <c:v>404</c:v>
                </c:pt>
                <c:pt idx="72">
                  <c:v>265</c:v>
                </c:pt>
                <c:pt idx="73">
                  <c:v>163</c:v>
                </c:pt>
                <c:pt idx="74">
                  <c:v>573</c:v>
                </c:pt>
                <c:pt idx="75">
                  <c:v>408</c:v>
                </c:pt>
                <c:pt idx="76">
                  <c:v>466</c:v>
                </c:pt>
                <c:pt idx="77">
                  <c:v>347</c:v>
                </c:pt>
                <c:pt idx="78">
                  <c:v>453</c:v>
                </c:pt>
                <c:pt idx="79">
                  <c:v>150</c:v>
                </c:pt>
                <c:pt idx="80">
                  <c:v>358</c:v>
                </c:pt>
                <c:pt idx="81">
                  <c:v>66</c:v>
                </c:pt>
                <c:pt idx="82">
                  <c:v>252</c:v>
                </c:pt>
                <c:pt idx="83">
                  <c:v>1</c:v>
                </c:pt>
                <c:pt idx="84">
                  <c:v>18</c:v>
                </c:pt>
                <c:pt idx="85">
                  <c:v>580</c:v>
                </c:pt>
                <c:pt idx="86">
                  <c:v>1</c:v>
                </c:pt>
                <c:pt idx="87">
                  <c:v>166</c:v>
                </c:pt>
                <c:pt idx="88">
                  <c:v>78</c:v>
                </c:pt>
                <c:pt idx="89">
                  <c:v>250</c:v>
                </c:pt>
                <c:pt idx="90">
                  <c:v>27</c:v>
                </c:pt>
                <c:pt idx="91">
                  <c:v>1</c:v>
                </c:pt>
                <c:pt idx="92">
                  <c:v>8</c:v>
                </c:pt>
                <c:pt idx="93">
                  <c:v>52</c:v>
                </c:pt>
                <c:pt idx="94">
                  <c:v>86</c:v>
                </c:pt>
                <c:pt idx="95">
                  <c:v>359</c:v>
                </c:pt>
                <c:pt idx="96">
                  <c:v>337</c:v>
                </c:pt>
                <c:pt idx="97">
                  <c:v>286</c:v>
                </c:pt>
                <c:pt idx="98">
                  <c:v>347</c:v>
                </c:pt>
                <c:pt idx="99">
                  <c:v>259</c:v>
                </c:pt>
                <c:pt idx="100">
                  <c:v>299</c:v>
                </c:pt>
                <c:pt idx="101">
                  <c:v>448</c:v>
                </c:pt>
                <c:pt idx="102">
                  <c:v>385</c:v>
                </c:pt>
                <c:pt idx="103">
                  <c:v>281</c:v>
                </c:pt>
                <c:pt idx="104">
                  <c:v>234</c:v>
                </c:pt>
                <c:pt idx="105">
                  <c:v>303</c:v>
                </c:pt>
                <c:pt idx="106">
                  <c:v>329</c:v>
                </c:pt>
                <c:pt idx="107">
                  <c:v>226</c:v>
                </c:pt>
                <c:pt idx="108">
                  <c:v>118</c:v>
                </c:pt>
                <c:pt idx="109">
                  <c:v>466</c:v>
                </c:pt>
                <c:pt idx="110">
                  <c:v>196</c:v>
                </c:pt>
                <c:pt idx="111">
                  <c:v>244</c:v>
                </c:pt>
                <c:pt idx="112">
                  <c:v>441</c:v>
                </c:pt>
                <c:pt idx="113">
                  <c:v>396</c:v>
                </c:pt>
                <c:pt idx="114">
                  <c:v>205</c:v>
                </c:pt>
                <c:pt idx="115">
                  <c:v>282</c:v>
                </c:pt>
                <c:pt idx="116">
                  <c:v>318</c:v>
                </c:pt>
                <c:pt idx="117">
                  <c:v>485</c:v>
                </c:pt>
                <c:pt idx="118">
                  <c:v>260</c:v>
                </c:pt>
                <c:pt idx="119">
                  <c:v>277</c:v>
                </c:pt>
                <c:pt idx="120">
                  <c:v>24</c:v>
                </c:pt>
                <c:pt idx="121">
                  <c:v>205</c:v>
                </c:pt>
                <c:pt idx="122">
                  <c:v>86</c:v>
                </c:pt>
                <c:pt idx="123">
                  <c:v>5</c:v>
                </c:pt>
                <c:pt idx="124">
                  <c:v>37</c:v>
                </c:pt>
                <c:pt idx="125">
                  <c:v>309</c:v>
                </c:pt>
                <c:pt idx="126">
                  <c:v>174</c:v>
                </c:pt>
                <c:pt idx="127">
                  <c:v>199</c:v>
                </c:pt>
                <c:pt idx="128">
                  <c:v>326</c:v>
                </c:pt>
                <c:pt idx="129">
                  <c:v>40</c:v>
                </c:pt>
                <c:pt idx="130">
                  <c:v>67</c:v>
                </c:pt>
                <c:pt idx="131">
                  <c:v>132</c:v>
                </c:pt>
                <c:pt idx="132">
                  <c:v>417</c:v>
                </c:pt>
                <c:pt idx="133">
                  <c:v>445</c:v>
                </c:pt>
                <c:pt idx="134">
                  <c:v>377</c:v>
                </c:pt>
                <c:pt idx="135">
                  <c:v>75</c:v>
                </c:pt>
                <c:pt idx="136">
                  <c:v>212</c:v>
                </c:pt>
                <c:pt idx="137">
                  <c:v>68</c:v>
                </c:pt>
                <c:pt idx="138">
                  <c:v>328</c:v>
                </c:pt>
                <c:pt idx="139">
                  <c:v>396</c:v>
                </c:pt>
                <c:pt idx="140">
                  <c:v>65</c:v>
                </c:pt>
                <c:pt idx="141">
                  <c:v>128</c:v>
                </c:pt>
                <c:pt idx="142">
                  <c:v>24</c:v>
                </c:pt>
                <c:pt idx="143">
                  <c:v>412</c:v>
                </c:pt>
                <c:pt idx="144">
                  <c:v>273</c:v>
                </c:pt>
                <c:pt idx="145">
                  <c:v>232</c:v>
                </c:pt>
                <c:pt idx="146">
                  <c:v>14</c:v>
                </c:pt>
                <c:pt idx="147">
                  <c:v>13</c:v>
                </c:pt>
                <c:pt idx="148">
                  <c:v>118</c:v>
                </c:pt>
                <c:pt idx="149">
                  <c:v>176</c:v>
                </c:pt>
                <c:pt idx="150">
                  <c:v>54</c:v>
                </c:pt>
                <c:pt idx="151">
                  <c:v>62</c:v>
                </c:pt>
                <c:pt idx="152">
                  <c:v>49</c:v>
                </c:pt>
                <c:pt idx="153">
                  <c:v>368</c:v>
                </c:pt>
                <c:pt idx="154">
                  <c:v>21</c:v>
                </c:pt>
                <c:pt idx="155">
                  <c:v>45</c:v>
                </c:pt>
                <c:pt idx="156">
                  <c:v>54</c:v>
                </c:pt>
                <c:pt idx="157">
                  <c:v>316</c:v>
                </c:pt>
                <c:pt idx="158">
                  <c:v>266</c:v>
                </c:pt>
                <c:pt idx="159">
                  <c:v>214</c:v>
                </c:pt>
                <c:pt idx="160">
                  <c:v>229</c:v>
                </c:pt>
                <c:pt idx="161">
                  <c:v>28</c:v>
                </c:pt>
                <c:pt idx="162">
                  <c:v>16</c:v>
                </c:pt>
                <c:pt idx="163">
                  <c:v>50</c:v>
                </c:pt>
                <c:pt idx="164">
                  <c:v>30</c:v>
                </c:pt>
                <c:pt idx="165">
                  <c:v>128</c:v>
                </c:pt>
                <c:pt idx="166">
                  <c:v>341</c:v>
                </c:pt>
                <c:pt idx="167">
                  <c:v>16</c:v>
                </c:pt>
                <c:pt idx="168">
                  <c:v>374</c:v>
                </c:pt>
                <c:pt idx="169">
                  <c:v>9</c:v>
                </c:pt>
                <c:pt idx="170">
                  <c:v>256</c:v>
                </c:pt>
                <c:pt idx="171">
                  <c:v>262</c:v>
                </c:pt>
                <c:pt idx="172">
                  <c:v>32</c:v>
                </c:pt>
                <c:pt idx="173">
                  <c:v>9</c:v>
                </c:pt>
                <c:pt idx="174">
                  <c:v>242</c:v>
                </c:pt>
                <c:pt idx="175">
                  <c:v>29</c:v>
                </c:pt>
                <c:pt idx="176">
                  <c:v>19</c:v>
                </c:pt>
                <c:pt idx="177">
                  <c:v>19</c:v>
                </c:pt>
                <c:pt idx="178">
                  <c:v>18</c:v>
                </c:pt>
                <c:pt idx="179">
                  <c:v>10</c:v>
                </c:pt>
                <c:pt idx="180">
                  <c:v>32</c:v>
                </c:pt>
                <c:pt idx="181">
                  <c:v>27</c:v>
                </c:pt>
                <c:pt idx="182">
                  <c:v>19</c:v>
                </c:pt>
                <c:pt idx="183">
                  <c:v>65</c:v>
                </c:pt>
                <c:pt idx="184">
                  <c:v>70</c:v>
                </c:pt>
                <c:pt idx="185">
                  <c:v>59</c:v>
                </c:pt>
                <c:pt idx="186">
                  <c:v>148</c:v>
                </c:pt>
                <c:pt idx="187">
                  <c:v>152</c:v>
                </c:pt>
                <c:pt idx="188">
                  <c:v>284</c:v>
                </c:pt>
                <c:pt idx="189">
                  <c:v>128</c:v>
                </c:pt>
                <c:pt idx="190">
                  <c:v>177</c:v>
                </c:pt>
                <c:pt idx="191">
                  <c:v>489</c:v>
                </c:pt>
                <c:pt idx="192">
                  <c:v>142</c:v>
                </c:pt>
                <c:pt idx="193">
                  <c:v>103</c:v>
                </c:pt>
                <c:pt idx="194">
                  <c:v>110</c:v>
                </c:pt>
                <c:pt idx="195">
                  <c:v>204</c:v>
                </c:pt>
                <c:pt idx="196">
                  <c:v>112</c:v>
                </c:pt>
                <c:pt idx="197">
                  <c:v>122</c:v>
                </c:pt>
                <c:pt idx="198">
                  <c:v>89</c:v>
                </c:pt>
                <c:pt idx="199">
                  <c:v>105</c:v>
                </c:pt>
                <c:pt idx="200">
                  <c:v>78</c:v>
                </c:pt>
                <c:pt idx="201">
                  <c:v>115</c:v>
                </c:pt>
                <c:pt idx="202">
                  <c:v>23</c:v>
                </c:pt>
                <c:pt idx="203">
                  <c:v>90</c:v>
                </c:pt>
                <c:pt idx="204">
                  <c:v>272</c:v>
                </c:pt>
                <c:pt idx="205">
                  <c:v>163</c:v>
                </c:pt>
                <c:pt idx="206">
                  <c:v>197</c:v>
                </c:pt>
                <c:pt idx="207">
                  <c:v>27</c:v>
                </c:pt>
                <c:pt idx="208">
                  <c:v>71</c:v>
                </c:pt>
                <c:pt idx="209">
                  <c:v>225</c:v>
                </c:pt>
                <c:pt idx="210">
                  <c:v>77</c:v>
                </c:pt>
                <c:pt idx="211">
                  <c:v>127</c:v>
                </c:pt>
                <c:pt idx="212">
                  <c:v>42</c:v>
                </c:pt>
                <c:pt idx="213">
                  <c:v>95</c:v>
                </c:pt>
                <c:pt idx="214">
                  <c:v>60</c:v>
                </c:pt>
                <c:pt idx="215">
                  <c:v>45</c:v>
                </c:pt>
                <c:pt idx="216">
                  <c:v>247</c:v>
                </c:pt>
                <c:pt idx="217">
                  <c:v>359</c:v>
                </c:pt>
                <c:pt idx="218">
                  <c:v>419</c:v>
                </c:pt>
                <c:pt idx="219">
                  <c:v>406</c:v>
                </c:pt>
                <c:pt idx="220">
                  <c:v>186</c:v>
                </c:pt>
                <c:pt idx="221">
                  <c:v>405</c:v>
                </c:pt>
                <c:pt idx="222">
                  <c:v>258</c:v>
                </c:pt>
                <c:pt idx="223">
                  <c:v>671</c:v>
                </c:pt>
                <c:pt idx="224">
                  <c:v>742</c:v>
                </c:pt>
                <c:pt idx="225">
                  <c:v>211</c:v>
                </c:pt>
                <c:pt idx="226">
                  <c:v>250</c:v>
                </c:pt>
                <c:pt idx="227">
                  <c:v>723</c:v>
                </c:pt>
                <c:pt idx="228">
                  <c:v>248</c:v>
                </c:pt>
                <c:pt idx="229">
                  <c:v>260</c:v>
                </c:pt>
                <c:pt idx="230">
                  <c:v>168</c:v>
                </c:pt>
                <c:pt idx="231">
                  <c:v>221</c:v>
                </c:pt>
                <c:pt idx="232">
                  <c:v>423</c:v>
                </c:pt>
                <c:pt idx="233">
                  <c:v>144</c:v>
                </c:pt>
                <c:pt idx="234">
                  <c:v>14</c:v>
                </c:pt>
                <c:pt idx="235">
                  <c:v>235</c:v>
                </c:pt>
                <c:pt idx="236">
                  <c:v>472</c:v>
                </c:pt>
                <c:pt idx="237">
                  <c:v>201</c:v>
                </c:pt>
                <c:pt idx="238">
                  <c:v>110</c:v>
                </c:pt>
                <c:pt idx="239">
                  <c:v>221</c:v>
                </c:pt>
                <c:pt idx="240">
                  <c:v>327</c:v>
                </c:pt>
                <c:pt idx="241">
                  <c:v>268</c:v>
                </c:pt>
                <c:pt idx="242">
                  <c:v>120</c:v>
                </c:pt>
                <c:pt idx="243">
                  <c:v>138</c:v>
                </c:pt>
                <c:pt idx="244">
                  <c:v>312</c:v>
                </c:pt>
                <c:pt idx="245">
                  <c:v>61</c:v>
                </c:pt>
                <c:pt idx="246">
                  <c:v>262</c:v>
                </c:pt>
                <c:pt idx="247">
                  <c:v>104</c:v>
                </c:pt>
                <c:pt idx="248">
                  <c:v>223</c:v>
                </c:pt>
                <c:pt idx="249">
                  <c:v>467</c:v>
                </c:pt>
                <c:pt idx="250">
                  <c:v>418</c:v>
                </c:pt>
                <c:pt idx="251">
                  <c:v>3</c:v>
                </c:pt>
                <c:pt idx="252">
                  <c:v>397</c:v>
                </c:pt>
                <c:pt idx="253">
                  <c:v>237</c:v>
                </c:pt>
                <c:pt idx="254">
                  <c:v>153</c:v>
                </c:pt>
                <c:pt idx="255">
                  <c:v>127</c:v>
                </c:pt>
                <c:pt idx="256">
                  <c:v>143</c:v>
                </c:pt>
                <c:pt idx="257">
                  <c:v>166</c:v>
                </c:pt>
                <c:pt idx="258">
                  <c:v>181</c:v>
                </c:pt>
                <c:pt idx="259">
                  <c:v>318</c:v>
                </c:pt>
                <c:pt idx="260">
                  <c:v>208</c:v>
                </c:pt>
                <c:pt idx="261">
                  <c:v>178</c:v>
                </c:pt>
                <c:pt idx="262">
                  <c:v>107</c:v>
                </c:pt>
                <c:pt idx="263">
                  <c:v>147</c:v>
                </c:pt>
                <c:pt idx="264">
                  <c:v>146</c:v>
                </c:pt>
                <c:pt idx="265">
                  <c:v>124</c:v>
                </c:pt>
                <c:pt idx="266">
                  <c:v>66</c:v>
                </c:pt>
                <c:pt idx="267">
                  <c:v>250</c:v>
                </c:pt>
                <c:pt idx="268">
                  <c:v>77</c:v>
                </c:pt>
                <c:pt idx="269">
                  <c:v>214</c:v>
                </c:pt>
                <c:pt idx="270">
                  <c:v>263</c:v>
                </c:pt>
                <c:pt idx="271">
                  <c:v>68</c:v>
                </c:pt>
                <c:pt idx="272">
                  <c:v>215</c:v>
                </c:pt>
                <c:pt idx="273">
                  <c:v>141</c:v>
                </c:pt>
                <c:pt idx="274">
                  <c:v>161</c:v>
                </c:pt>
                <c:pt idx="275">
                  <c:v>169</c:v>
                </c:pt>
                <c:pt idx="276">
                  <c:v>45</c:v>
                </c:pt>
                <c:pt idx="277">
                  <c:v>78</c:v>
                </c:pt>
                <c:pt idx="278">
                  <c:v>11</c:v>
                </c:pt>
                <c:pt idx="279">
                  <c:v>51</c:v>
                </c:pt>
                <c:pt idx="280">
                  <c:v>41</c:v>
                </c:pt>
                <c:pt idx="281">
                  <c:v>60</c:v>
                </c:pt>
                <c:pt idx="282">
                  <c:v>115</c:v>
                </c:pt>
                <c:pt idx="283">
                  <c:v>129</c:v>
                </c:pt>
                <c:pt idx="284">
                  <c:v>96</c:v>
                </c:pt>
                <c:pt idx="285">
                  <c:v>61</c:v>
                </c:pt>
                <c:pt idx="286">
                  <c:v>6</c:v>
                </c:pt>
                <c:pt idx="287">
                  <c:v>73</c:v>
                </c:pt>
                <c:pt idx="288">
                  <c:v>72</c:v>
                </c:pt>
                <c:pt idx="289">
                  <c:v>90</c:v>
                </c:pt>
                <c:pt idx="290">
                  <c:v>159</c:v>
                </c:pt>
                <c:pt idx="291">
                  <c:v>10</c:v>
                </c:pt>
                <c:pt idx="292">
                  <c:v>34</c:v>
                </c:pt>
                <c:pt idx="293">
                  <c:v>97</c:v>
                </c:pt>
                <c:pt idx="294">
                  <c:v>345</c:v>
                </c:pt>
                <c:pt idx="295">
                  <c:v>312</c:v>
                </c:pt>
                <c:pt idx="296">
                  <c:v>129</c:v>
                </c:pt>
                <c:pt idx="297">
                  <c:v>346</c:v>
                </c:pt>
                <c:pt idx="298">
                  <c:v>177</c:v>
                </c:pt>
                <c:pt idx="299">
                  <c:v>283</c:v>
                </c:pt>
                <c:pt idx="300">
                  <c:v>281</c:v>
                </c:pt>
                <c:pt idx="301">
                  <c:v>185</c:v>
                </c:pt>
                <c:pt idx="302">
                  <c:v>111</c:v>
                </c:pt>
                <c:pt idx="303">
                  <c:v>194</c:v>
                </c:pt>
                <c:pt idx="304">
                  <c:v>334</c:v>
                </c:pt>
                <c:pt idx="305">
                  <c:v>229</c:v>
                </c:pt>
                <c:pt idx="306">
                  <c:v>223</c:v>
                </c:pt>
                <c:pt idx="307">
                  <c:v>244</c:v>
                </c:pt>
                <c:pt idx="308">
                  <c:v>58</c:v>
                </c:pt>
                <c:pt idx="309">
                  <c:v>211</c:v>
                </c:pt>
                <c:pt idx="310">
                  <c:v>473</c:v>
                </c:pt>
                <c:pt idx="311">
                  <c:v>116</c:v>
                </c:pt>
                <c:pt idx="312">
                  <c:v>162</c:v>
                </c:pt>
                <c:pt idx="313">
                  <c:v>119</c:v>
                </c:pt>
                <c:pt idx="314">
                  <c:v>179</c:v>
                </c:pt>
                <c:pt idx="315">
                  <c:v>274</c:v>
                </c:pt>
                <c:pt idx="316">
                  <c:v>263</c:v>
                </c:pt>
                <c:pt idx="317">
                  <c:v>195</c:v>
                </c:pt>
                <c:pt idx="318">
                  <c:v>336</c:v>
                </c:pt>
                <c:pt idx="319">
                  <c:v>161</c:v>
                </c:pt>
                <c:pt idx="320">
                  <c:v>252</c:v>
                </c:pt>
                <c:pt idx="321">
                  <c:v>140</c:v>
                </c:pt>
                <c:pt idx="322">
                  <c:v>203</c:v>
                </c:pt>
                <c:pt idx="323">
                  <c:v>527</c:v>
                </c:pt>
                <c:pt idx="324">
                  <c:v>104</c:v>
                </c:pt>
                <c:pt idx="325">
                  <c:v>161</c:v>
                </c:pt>
                <c:pt idx="326">
                  <c:v>235</c:v>
                </c:pt>
                <c:pt idx="327">
                  <c:v>166</c:v>
                </c:pt>
                <c:pt idx="328">
                  <c:v>92</c:v>
                </c:pt>
                <c:pt idx="329">
                  <c:v>173</c:v>
                </c:pt>
                <c:pt idx="330">
                  <c:v>71</c:v>
                </c:pt>
                <c:pt idx="331">
                  <c:v>93</c:v>
                </c:pt>
                <c:pt idx="332">
                  <c:v>107</c:v>
                </c:pt>
                <c:pt idx="333">
                  <c:v>144</c:v>
                </c:pt>
                <c:pt idx="334">
                  <c:v>134</c:v>
                </c:pt>
                <c:pt idx="335">
                  <c:v>54</c:v>
                </c:pt>
                <c:pt idx="336">
                  <c:v>155</c:v>
                </c:pt>
                <c:pt idx="337">
                  <c:v>78</c:v>
                </c:pt>
                <c:pt idx="338">
                  <c:v>170</c:v>
                </c:pt>
                <c:pt idx="339">
                  <c:v>156</c:v>
                </c:pt>
                <c:pt idx="340">
                  <c:v>160</c:v>
                </c:pt>
                <c:pt idx="341">
                  <c:v>91</c:v>
                </c:pt>
                <c:pt idx="342">
                  <c:v>140</c:v>
                </c:pt>
                <c:pt idx="343">
                  <c:v>128</c:v>
                </c:pt>
                <c:pt idx="344">
                  <c:v>92</c:v>
                </c:pt>
                <c:pt idx="345">
                  <c:v>211</c:v>
                </c:pt>
                <c:pt idx="346">
                  <c:v>144</c:v>
                </c:pt>
                <c:pt idx="347">
                  <c:v>210</c:v>
                </c:pt>
                <c:pt idx="348">
                  <c:v>180</c:v>
                </c:pt>
                <c:pt idx="349">
                  <c:v>182</c:v>
                </c:pt>
                <c:pt idx="350">
                  <c:v>99</c:v>
                </c:pt>
                <c:pt idx="351">
                  <c:v>231</c:v>
                </c:pt>
                <c:pt idx="352">
                  <c:v>4</c:v>
                </c:pt>
                <c:pt idx="353">
                  <c:v>42</c:v>
                </c:pt>
                <c:pt idx="354">
                  <c:v>45</c:v>
                </c:pt>
                <c:pt idx="355">
                  <c:v>224</c:v>
                </c:pt>
                <c:pt idx="356">
                  <c:v>192</c:v>
                </c:pt>
                <c:pt idx="357">
                  <c:v>96</c:v>
                </c:pt>
                <c:pt idx="358">
                  <c:v>84</c:v>
                </c:pt>
                <c:pt idx="359">
                  <c:v>60</c:v>
                </c:pt>
                <c:pt idx="360">
                  <c:v>95</c:v>
                </c:pt>
                <c:pt idx="361">
                  <c:v>242</c:v>
                </c:pt>
                <c:pt idx="362">
                  <c:v>189</c:v>
                </c:pt>
                <c:pt idx="363">
                  <c:v>169</c:v>
                </c:pt>
                <c:pt idx="364">
                  <c:v>6</c:v>
                </c:pt>
                <c:pt idx="365">
                  <c:v>10</c:v>
                </c:pt>
                <c:pt idx="366">
                  <c:v>21</c:v>
                </c:pt>
                <c:pt idx="367">
                  <c:v>10</c:v>
                </c:pt>
                <c:pt idx="368">
                  <c:v>9</c:v>
                </c:pt>
                <c:pt idx="369">
                  <c:v>14</c:v>
                </c:pt>
                <c:pt idx="370">
                  <c:v>11</c:v>
                </c:pt>
                <c:pt idx="371">
                  <c:v>35</c:v>
                </c:pt>
                <c:pt idx="372">
                  <c:v>44</c:v>
                </c:pt>
                <c:pt idx="373">
                  <c:v>21</c:v>
                </c:pt>
                <c:pt idx="374">
                  <c:v>44</c:v>
                </c:pt>
                <c:pt idx="375">
                  <c:v>68</c:v>
                </c:pt>
                <c:pt idx="376">
                  <c:v>46</c:v>
                </c:pt>
                <c:pt idx="377">
                  <c:v>108</c:v>
                </c:pt>
                <c:pt idx="378">
                  <c:v>235</c:v>
                </c:pt>
                <c:pt idx="379">
                  <c:v>8</c:v>
                </c:pt>
                <c:pt idx="380">
                  <c:v>18</c:v>
                </c:pt>
                <c:pt idx="381">
                  <c:v>17</c:v>
                </c:pt>
                <c:pt idx="382">
                  <c:v>11</c:v>
                </c:pt>
                <c:pt idx="383">
                  <c:v>348</c:v>
                </c:pt>
                <c:pt idx="384">
                  <c:v>160</c:v>
                </c:pt>
                <c:pt idx="385">
                  <c:v>79</c:v>
                </c:pt>
                <c:pt idx="386">
                  <c:v>214</c:v>
                </c:pt>
                <c:pt idx="387">
                  <c:v>64</c:v>
                </c:pt>
                <c:pt idx="388">
                  <c:v>159</c:v>
                </c:pt>
                <c:pt idx="389">
                  <c:v>215</c:v>
                </c:pt>
                <c:pt idx="390">
                  <c:v>61</c:v>
                </c:pt>
                <c:pt idx="391">
                  <c:v>269</c:v>
                </c:pt>
                <c:pt idx="392">
                  <c:v>138</c:v>
                </c:pt>
                <c:pt idx="393">
                  <c:v>130</c:v>
                </c:pt>
                <c:pt idx="394">
                  <c:v>110</c:v>
                </c:pt>
                <c:pt idx="395">
                  <c:v>94</c:v>
                </c:pt>
                <c:pt idx="396">
                  <c:v>55</c:v>
                </c:pt>
                <c:pt idx="397">
                  <c:v>57</c:v>
                </c:pt>
                <c:pt idx="398">
                  <c:v>100</c:v>
                </c:pt>
                <c:pt idx="399">
                  <c:v>105</c:v>
                </c:pt>
                <c:pt idx="400">
                  <c:v>179</c:v>
                </c:pt>
                <c:pt idx="401">
                  <c:v>152</c:v>
                </c:pt>
                <c:pt idx="402">
                  <c:v>17</c:v>
                </c:pt>
                <c:pt idx="403">
                  <c:v>48</c:v>
                </c:pt>
                <c:pt idx="404">
                  <c:v>44</c:v>
                </c:pt>
                <c:pt idx="405">
                  <c:v>154</c:v>
                </c:pt>
                <c:pt idx="406">
                  <c:v>71</c:v>
                </c:pt>
                <c:pt idx="407">
                  <c:v>88</c:v>
                </c:pt>
                <c:pt idx="408">
                  <c:v>18</c:v>
                </c:pt>
                <c:pt idx="409">
                  <c:v>53</c:v>
                </c:pt>
                <c:pt idx="410">
                  <c:v>19</c:v>
                </c:pt>
                <c:pt idx="411">
                  <c:v>82</c:v>
                </c:pt>
                <c:pt idx="412">
                  <c:v>750</c:v>
                </c:pt>
                <c:pt idx="413">
                  <c:v>170</c:v>
                </c:pt>
                <c:pt idx="414">
                  <c:v>257</c:v>
                </c:pt>
                <c:pt idx="415">
                  <c:v>417</c:v>
                </c:pt>
                <c:pt idx="416">
                  <c:v>247</c:v>
                </c:pt>
                <c:pt idx="417">
                  <c:v>283</c:v>
                </c:pt>
                <c:pt idx="418">
                  <c:v>268</c:v>
                </c:pt>
                <c:pt idx="419">
                  <c:v>347</c:v>
                </c:pt>
                <c:pt idx="420">
                  <c:v>220</c:v>
                </c:pt>
                <c:pt idx="421">
                  <c:v>294</c:v>
                </c:pt>
                <c:pt idx="422">
                  <c:v>289</c:v>
                </c:pt>
                <c:pt idx="423">
                  <c:v>302</c:v>
                </c:pt>
                <c:pt idx="424">
                  <c:v>160</c:v>
                </c:pt>
                <c:pt idx="425">
                  <c:v>169</c:v>
                </c:pt>
                <c:pt idx="426">
                  <c:v>158</c:v>
                </c:pt>
                <c:pt idx="427">
                  <c:v>167</c:v>
                </c:pt>
                <c:pt idx="428">
                  <c:v>25</c:v>
                </c:pt>
                <c:pt idx="429">
                  <c:v>112</c:v>
                </c:pt>
                <c:pt idx="430">
                  <c:v>13</c:v>
                </c:pt>
                <c:pt idx="431">
                  <c:v>131</c:v>
                </c:pt>
                <c:pt idx="432">
                  <c:v>142</c:v>
                </c:pt>
                <c:pt idx="433">
                  <c:v>17</c:v>
                </c:pt>
                <c:pt idx="434">
                  <c:v>414</c:v>
                </c:pt>
                <c:pt idx="435">
                  <c:v>302</c:v>
                </c:pt>
                <c:pt idx="436">
                  <c:v>136</c:v>
                </c:pt>
                <c:pt idx="437">
                  <c:v>129</c:v>
                </c:pt>
                <c:pt idx="438">
                  <c:v>245</c:v>
                </c:pt>
                <c:pt idx="439">
                  <c:v>206</c:v>
                </c:pt>
                <c:pt idx="440">
                  <c:v>31</c:v>
                </c:pt>
                <c:pt idx="441">
                  <c:v>150</c:v>
                </c:pt>
                <c:pt idx="442">
                  <c:v>227</c:v>
                </c:pt>
                <c:pt idx="443">
                  <c:v>256</c:v>
                </c:pt>
                <c:pt idx="444">
                  <c:v>284</c:v>
                </c:pt>
                <c:pt idx="445">
                  <c:v>101</c:v>
                </c:pt>
                <c:pt idx="446">
                  <c:v>69</c:v>
                </c:pt>
                <c:pt idx="447">
                  <c:v>22</c:v>
                </c:pt>
                <c:pt idx="448">
                  <c:v>187</c:v>
                </c:pt>
                <c:pt idx="449">
                  <c:v>332</c:v>
                </c:pt>
                <c:pt idx="450">
                  <c:v>6</c:v>
                </c:pt>
                <c:pt idx="451">
                  <c:v>160</c:v>
                </c:pt>
                <c:pt idx="452">
                  <c:v>216</c:v>
                </c:pt>
                <c:pt idx="453">
                  <c:v>254</c:v>
                </c:pt>
                <c:pt idx="454">
                  <c:v>197</c:v>
                </c:pt>
                <c:pt idx="455">
                  <c:v>1</c:v>
                </c:pt>
                <c:pt idx="456">
                  <c:v>38</c:v>
                </c:pt>
                <c:pt idx="457">
                  <c:v>35</c:v>
                </c:pt>
                <c:pt idx="458">
                  <c:v>256</c:v>
                </c:pt>
                <c:pt idx="459">
                  <c:v>139</c:v>
                </c:pt>
                <c:pt idx="460">
                  <c:v>221</c:v>
                </c:pt>
                <c:pt idx="461">
                  <c:v>380</c:v>
                </c:pt>
                <c:pt idx="462">
                  <c:v>67</c:v>
                </c:pt>
                <c:pt idx="463">
                  <c:v>231</c:v>
                </c:pt>
                <c:pt idx="464">
                  <c:v>124</c:v>
                </c:pt>
                <c:pt idx="465">
                  <c:v>268</c:v>
                </c:pt>
                <c:pt idx="466">
                  <c:v>104</c:v>
                </c:pt>
                <c:pt idx="467">
                  <c:v>89</c:v>
                </c:pt>
                <c:pt idx="468">
                  <c:v>112</c:v>
                </c:pt>
                <c:pt idx="469">
                  <c:v>158</c:v>
                </c:pt>
                <c:pt idx="470">
                  <c:v>94</c:v>
                </c:pt>
                <c:pt idx="471">
                  <c:v>137</c:v>
                </c:pt>
                <c:pt idx="472">
                  <c:v>112</c:v>
                </c:pt>
                <c:pt idx="473">
                  <c:v>93</c:v>
                </c:pt>
                <c:pt idx="474">
                  <c:v>116</c:v>
                </c:pt>
                <c:pt idx="475">
                  <c:v>113</c:v>
                </c:pt>
                <c:pt idx="476">
                  <c:v>69</c:v>
                </c:pt>
                <c:pt idx="477">
                  <c:v>148</c:v>
                </c:pt>
                <c:pt idx="478">
                  <c:v>349</c:v>
                </c:pt>
                <c:pt idx="479">
                  <c:v>179</c:v>
                </c:pt>
                <c:pt idx="480">
                  <c:v>24</c:v>
                </c:pt>
                <c:pt idx="481">
                  <c:v>77</c:v>
                </c:pt>
                <c:pt idx="482">
                  <c:v>85</c:v>
                </c:pt>
                <c:pt idx="483">
                  <c:v>224</c:v>
                </c:pt>
                <c:pt idx="484">
                  <c:v>156</c:v>
                </c:pt>
                <c:pt idx="485">
                  <c:v>5</c:v>
                </c:pt>
                <c:pt idx="486">
                  <c:v>11</c:v>
                </c:pt>
                <c:pt idx="487">
                  <c:v>26</c:v>
                </c:pt>
                <c:pt idx="488">
                  <c:v>5</c:v>
                </c:pt>
                <c:pt idx="489">
                  <c:v>3</c:v>
                </c:pt>
                <c:pt idx="490">
                  <c:v>15</c:v>
                </c:pt>
                <c:pt idx="491">
                  <c:v>29</c:v>
                </c:pt>
                <c:pt idx="492">
                  <c:v>30</c:v>
                </c:pt>
                <c:pt idx="493">
                  <c:v>36</c:v>
                </c:pt>
                <c:pt idx="494">
                  <c:v>5</c:v>
                </c:pt>
                <c:pt idx="495">
                  <c:v>1</c:v>
                </c:pt>
                <c:pt idx="496">
                  <c:v>20</c:v>
                </c:pt>
                <c:pt idx="497">
                  <c:v>1</c:v>
                </c:pt>
                <c:pt idx="498">
                  <c:v>2</c:v>
                </c:pt>
                <c:pt idx="499">
                  <c:v>5</c:v>
                </c:pt>
                <c:pt idx="500">
                  <c:v>9</c:v>
                </c:pt>
                <c:pt idx="501">
                  <c:v>7</c:v>
                </c:pt>
                <c:pt idx="502">
                  <c:v>35</c:v>
                </c:pt>
                <c:pt idx="503">
                  <c:v>87</c:v>
                </c:pt>
                <c:pt idx="504">
                  <c:v>24</c:v>
                </c:pt>
                <c:pt idx="505">
                  <c:v>21</c:v>
                </c:pt>
                <c:pt idx="506">
                  <c:v>56</c:v>
                </c:pt>
                <c:pt idx="507">
                  <c:v>86</c:v>
                </c:pt>
                <c:pt idx="508">
                  <c:v>82</c:v>
                </c:pt>
                <c:pt idx="509">
                  <c:v>97</c:v>
                </c:pt>
                <c:pt idx="510">
                  <c:v>148</c:v>
                </c:pt>
                <c:pt idx="511">
                  <c:v>32</c:v>
                </c:pt>
                <c:pt idx="512">
                  <c:v>6</c:v>
                </c:pt>
              </c:numCache>
            </c:numRef>
          </c:yVal>
          <c:smooth val="0"/>
          <c:extLst>
            <c:ext xmlns:c16="http://schemas.microsoft.com/office/drawing/2014/chart" uri="{C3380CC4-5D6E-409C-BE32-E72D297353CC}">
              <c16:uniqueId val="{00000000-CDC9-494D-9BFC-9786483BBFBA}"/>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Effective Field Goal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EFG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Data!$E$2:$E$514</c:f>
              <c:numCache>
                <c:formatCode>General</c:formatCode>
                <c:ptCount val="513"/>
                <c:pt idx="0">
                  <c:v>0.61399999999999999</c:v>
                </c:pt>
                <c:pt idx="1">
                  <c:v>0.60199999999999998</c:v>
                </c:pt>
                <c:pt idx="2">
                  <c:v>0.54700000000000004</c:v>
                </c:pt>
                <c:pt idx="3">
                  <c:v>0.55500000000000005</c:v>
                </c:pt>
                <c:pt idx="4">
                  <c:v>0.67500000000000004</c:v>
                </c:pt>
                <c:pt idx="5">
                  <c:v>0.52800000000000002</c:v>
                </c:pt>
                <c:pt idx="6">
                  <c:v>0.60599999999999998</c:v>
                </c:pt>
                <c:pt idx="7">
                  <c:v>0.57399999999999995</c:v>
                </c:pt>
                <c:pt idx="8">
                  <c:v>0.53200000000000003</c:v>
                </c:pt>
                <c:pt idx="9">
                  <c:v>0.63100000000000001</c:v>
                </c:pt>
                <c:pt idx="10">
                  <c:v>0.629</c:v>
                </c:pt>
                <c:pt idx="11">
                  <c:v>0.63800000000000001</c:v>
                </c:pt>
                <c:pt idx="12">
                  <c:v>0.56299999999999994</c:v>
                </c:pt>
                <c:pt idx="13">
                  <c:v>0.622</c:v>
                </c:pt>
                <c:pt idx="14">
                  <c:v>0.51600000000000001</c:v>
                </c:pt>
                <c:pt idx="15">
                  <c:v>0.53500000000000003</c:v>
                </c:pt>
                <c:pt idx="16">
                  <c:v>0.61599999999999999</c:v>
                </c:pt>
                <c:pt idx="17">
                  <c:v>0.49199999999999999</c:v>
                </c:pt>
                <c:pt idx="18">
                  <c:v>0.65400000000000003</c:v>
                </c:pt>
                <c:pt idx="19">
                  <c:v>0.63600000000000001</c:v>
                </c:pt>
                <c:pt idx="20">
                  <c:v>0.432</c:v>
                </c:pt>
                <c:pt idx="21">
                  <c:v>0.63800000000000001</c:v>
                </c:pt>
                <c:pt idx="22">
                  <c:v>0.60499999999999998</c:v>
                </c:pt>
                <c:pt idx="23">
                  <c:v>0.55800000000000005</c:v>
                </c:pt>
                <c:pt idx="24">
                  <c:v>0.63500000000000001</c:v>
                </c:pt>
                <c:pt idx="25">
                  <c:v>0.51200000000000001</c:v>
                </c:pt>
                <c:pt idx="26">
                  <c:v>0.58199999999999996</c:v>
                </c:pt>
                <c:pt idx="27">
                  <c:v>0.57299999999999995</c:v>
                </c:pt>
                <c:pt idx="28">
                  <c:v>0.44400000000000001</c:v>
                </c:pt>
                <c:pt idx="29">
                  <c:v>0.47399999999999998</c:v>
                </c:pt>
                <c:pt idx="30">
                  <c:v>0.53100000000000003</c:v>
                </c:pt>
                <c:pt idx="31">
                  <c:v>0.56499999999999995</c:v>
                </c:pt>
                <c:pt idx="32">
                  <c:v>0.56299999999999994</c:v>
                </c:pt>
                <c:pt idx="33">
                  <c:v>0.57099999999999995</c:v>
                </c:pt>
                <c:pt idx="34">
                  <c:v>0.57599999999999996</c:v>
                </c:pt>
                <c:pt idx="35">
                  <c:v>0.433</c:v>
                </c:pt>
                <c:pt idx="36">
                  <c:v>0.54500000000000004</c:v>
                </c:pt>
                <c:pt idx="37">
                  <c:v>0.42099999999999999</c:v>
                </c:pt>
                <c:pt idx="38">
                  <c:v>0.54500000000000004</c:v>
                </c:pt>
                <c:pt idx="39">
                  <c:v>0.54</c:v>
                </c:pt>
                <c:pt idx="40">
                  <c:v>0.52500000000000002</c:v>
                </c:pt>
                <c:pt idx="41">
                  <c:v>0.52</c:v>
                </c:pt>
                <c:pt idx="42">
                  <c:v>0.59299999999999997</c:v>
                </c:pt>
                <c:pt idx="43">
                  <c:v>0.52</c:v>
                </c:pt>
                <c:pt idx="44">
                  <c:v>0.624</c:v>
                </c:pt>
                <c:pt idx="45">
                  <c:v>0.66500000000000004</c:v>
                </c:pt>
                <c:pt idx="46">
                  <c:v>0.51400000000000001</c:v>
                </c:pt>
                <c:pt idx="47">
                  <c:v>0.51</c:v>
                </c:pt>
                <c:pt idx="48">
                  <c:v>0.55600000000000005</c:v>
                </c:pt>
                <c:pt idx="49">
                  <c:v>0.68400000000000005</c:v>
                </c:pt>
                <c:pt idx="50">
                  <c:v>0.629</c:v>
                </c:pt>
                <c:pt idx="51">
                  <c:v>0.61299999999999999</c:v>
                </c:pt>
                <c:pt idx="52">
                  <c:v>0.49299999999999999</c:v>
                </c:pt>
                <c:pt idx="53">
                  <c:v>0.53300000000000003</c:v>
                </c:pt>
                <c:pt idx="54">
                  <c:v>0.318</c:v>
                </c:pt>
                <c:pt idx="55">
                  <c:v>0.68400000000000005</c:v>
                </c:pt>
                <c:pt idx="56">
                  <c:v>0.503</c:v>
                </c:pt>
                <c:pt idx="57">
                  <c:v>0.52200000000000002</c:v>
                </c:pt>
                <c:pt idx="58">
                  <c:v>0.54500000000000004</c:v>
                </c:pt>
                <c:pt idx="59">
                  <c:v>0.55700000000000005</c:v>
                </c:pt>
                <c:pt idx="60">
                  <c:v>0.59399999999999997</c:v>
                </c:pt>
                <c:pt idx="61">
                  <c:v>0.56499999999999995</c:v>
                </c:pt>
                <c:pt idx="62">
                  <c:v>0.57699999999999996</c:v>
                </c:pt>
                <c:pt idx="63">
                  <c:v>0.76300000000000001</c:v>
                </c:pt>
                <c:pt idx="64">
                  <c:v>0.64300000000000002</c:v>
                </c:pt>
                <c:pt idx="65">
                  <c:v>0.51800000000000002</c:v>
                </c:pt>
                <c:pt idx="66">
                  <c:v>0.69799999999999995</c:v>
                </c:pt>
                <c:pt idx="67">
                  <c:v>0.61399999999999999</c:v>
                </c:pt>
                <c:pt idx="68">
                  <c:v>0.53800000000000003</c:v>
                </c:pt>
                <c:pt idx="69">
                  <c:v>0.63900000000000001</c:v>
                </c:pt>
                <c:pt idx="70">
                  <c:v>0.48499999999999999</c:v>
                </c:pt>
                <c:pt idx="71">
                  <c:v>0.59499999999999997</c:v>
                </c:pt>
                <c:pt idx="72">
                  <c:v>0.53500000000000003</c:v>
                </c:pt>
                <c:pt idx="73">
                  <c:v>0.64400000000000002</c:v>
                </c:pt>
                <c:pt idx="74">
                  <c:v>0.57099999999999995</c:v>
                </c:pt>
                <c:pt idx="75">
                  <c:v>0.61399999999999999</c:v>
                </c:pt>
                <c:pt idx="76">
                  <c:v>0.58499999999999996</c:v>
                </c:pt>
                <c:pt idx="77">
                  <c:v>0.58699999999999997</c:v>
                </c:pt>
                <c:pt idx="78">
                  <c:v>0.57799999999999996</c:v>
                </c:pt>
                <c:pt idx="79">
                  <c:v>0.47899999999999998</c:v>
                </c:pt>
                <c:pt idx="80">
                  <c:v>0.72099999999999997</c:v>
                </c:pt>
                <c:pt idx="81">
                  <c:v>0.627</c:v>
                </c:pt>
                <c:pt idx="82">
                  <c:v>0.65300000000000002</c:v>
                </c:pt>
                <c:pt idx="83">
                  <c:v>1</c:v>
                </c:pt>
                <c:pt idx="84">
                  <c:v>0.55600000000000005</c:v>
                </c:pt>
                <c:pt idx="85">
                  <c:v>0.59599999999999997</c:v>
                </c:pt>
                <c:pt idx="86">
                  <c:v>0</c:v>
                </c:pt>
                <c:pt idx="87">
                  <c:v>0.624</c:v>
                </c:pt>
                <c:pt idx="88">
                  <c:v>0.40899999999999997</c:v>
                </c:pt>
                <c:pt idx="89">
                  <c:v>0.63600000000000001</c:v>
                </c:pt>
                <c:pt idx="90">
                  <c:v>0.51400000000000001</c:v>
                </c:pt>
                <c:pt idx="91">
                  <c:v>0</c:v>
                </c:pt>
                <c:pt idx="92">
                  <c:v>0.625</c:v>
                </c:pt>
                <c:pt idx="93">
                  <c:v>0.72399999999999998</c:v>
                </c:pt>
                <c:pt idx="94">
                  <c:v>0.71499999999999997</c:v>
                </c:pt>
                <c:pt idx="95">
                  <c:v>0.55700000000000005</c:v>
                </c:pt>
                <c:pt idx="96">
                  <c:v>0.56799999999999995</c:v>
                </c:pt>
                <c:pt idx="97">
                  <c:v>0.51200000000000001</c:v>
                </c:pt>
                <c:pt idx="98">
                  <c:v>0.54300000000000004</c:v>
                </c:pt>
                <c:pt idx="99">
                  <c:v>0.505</c:v>
                </c:pt>
                <c:pt idx="100">
                  <c:v>0.53100000000000003</c:v>
                </c:pt>
                <c:pt idx="101">
                  <c:v>0.49199999999999999</c:v>
                </c:pt>
                <c:pt idx="102">
                  <c:v>0.57499999999999996</c:v>
                </c:pt>
                <c:pt idx="103">
                  <c:v>0.53600000000000003</c:v>
                </c:pt>
                <c:pt idx="104">
                  <c:v>0.59199999999999997</c:v>
                </c:pt>
                <c:pt idx="105">
                  <c:v>0.505</c:v>
                </c:pt>
                <c:pt idx="106">
                  <c:v>0.501</c:v>
                </c:pt>
                <c:pt idx="107">
                  <c:v>0.50700000000000001</c:v>
                </c:pt>
                <c:pt idx="108">
                  <c:v>0.376</c:v>
                </c:pt>
                <c:pt idx="109">
                  <c:v>0.53300000000000003</c:v>
                </c:pt>
                <c:pt idx="110">
                  <c:v>0.48099999999999998</c:v>
                </c:pt>
                <c:pt idx="111">
                  <c:v>0.65200000000000002</c:v>
                </c:pt>
                <c:pt idx="112">
                  <c:v>0.61599999999999999</c:v>
                </c:pt>
                <c:pt idx="113">
                  <c:v>0.54</c:v>
                </c:pt>
                <c:pt idx="114">
                  <c:v>0.55400000000000005</c:v>
                </c:pt>
                <c:pt idx="115">
                  <c:v>0.55500000000000005</c:v>
                </c:pt>
                <c:pt idx="116">
                  <c:v>0.54200000000000004</c:v>
                </c:pt>
                <c:pt idx="117">
                  <c:v>0.57999999999999996</c:v>
                </c:pt>
                <c:pt idx="118">
                  <c:v>0.57999999999999996</c:v>
                </c:pt>
                <c:pt idx="119">
                  <c:v>0.56799999999999995</c:v>
                </c:pt>
                <c:pt idx="120">
                  <c:v>0.63500000000000001</c:v>
                </c:pt>
                <c:pt idx="121">
                  <c:v>0.52700000000000002</c:v>
                </c:pt>
                <c:pt idx="122">
                  <c:v>0.55600000000000005</c:v>
                </c:pt>
                <c:pt idx="123">
                  <c:v>0.5</c:v>
                </c:pt>
                <c:pt idx="124">
                  <c:v>0.48</c:v>
                </c:pt>
                <c:pt idx="125">
                  <c:v>0.64300000000000002</c:v>
                </c:pt>
                <c:pt idx="126">
                  <c:v>0.49199999999999999</c:v>
                </c:pt>
                <c:pt idx="127">
                  <c:v>0.54100000000000004</c:v>
                </c:pt>
                <c:pt idx="128">
                  <c:v>0.6</c:v>
                </c:pt>
                <c:pt idx="129">
                  <c:v>0.49299999999999999</c:v>
                </c:pt>
                <c:pt idx="130">
                  <c:v>0.55700000000000005</c:v>
                </c:pt>
                <c:pt idx="131">
                  <c:v>0.504</c:v>
                </c:pt>
                <c:pt idx="132">
                  <c:v>0.53300000000000003</c:v>
                </c:pt>
                <c:pt idx="133">
                  <c:v>0.64600000000000002</c:v>
                </c:pt>
                <c:pt idx="134">
                  <c:v>0.53100000000000003</c:v>
                </c:pt>
                <c:pt idx="135">
                  <c:v>0.55800000000000005</c:v>
                </c:pt>
                <c:pt idx="136">
                  <c:v>0.41199999999999998</c:v>
                </c:pt>
                <c:pt idx="137">
                  <c:v>0.505</c:v>
                </c:pt>
                <c:pt idx="138">
                  <c:v>0.53700000000000003</c:v>
                </c:pt>
                <c:pt idx="139">
                  <c:v>0.45600000000000002</c:v>
                </c:pt>
                <c:pt idx="140">
                  <c:v>0.59599999999999997</c:v>
                </c:pt>
                <c:pt idx="141">
                  <c:v>0.55100000000000005</c:v>
                </c:pt>
                <c:pt idx="142">
                  <c:v>0.50900000000000001</c:v>
                </c:pt>
                <c:pt idx="143">
                  <c:v>0.52200000000000002</c:v>
                </c:pt>
                <c:pt idx="144">
                  <c:v>0.59599999999999997</c:v>
                </c:pt>
                <c:pt idx="145">
                  <c:v>0.54500000000000004</c:v>
                </c:pt>
                <c:pt idx="146">
                  <c:v>0.63300000000000001</c:v>
                </c:pt>
                <c:pt idx="147">
                  <c:v>0.39300000000000002</c:v>
                </c:pt>
                <c:pt idx="148">
                  <c:v>0.52500000000000002</c:v>
                </c:pt>
                <c:pt idx="149">
                  <c:v>0.59</c:v>
                </c:pt>
                <c:pt idx="150">
                  <c:v>0.60199999999999998</c:v>
                </c:pt>
                <c:pt idx="151">
                  <c:v>0.56899999999999995</c:v>
                </c:pt>
                <c:pt idx="152">
                  <c:v>0.48499999999999999</c:v>
                </c:pt>
                <c:pt idx="153">
                  <c:v>0.60799999999999998</c:v>
                </c:pt>
                <c:pt idx="154">
                  <c:v>0.33300000000000002</c:v>
                </c:pt>
                <c:pt idx="155">
                  <c:v>0.505</c:v>
                </c:pt>
                <c:pt idx="156">
                  <c:v>0.50800000000000001</c:v>
                </c:pt>
                <c:pt idx="157">
                  <c:v>0.59699999999999998</c:v>
                </c:pt>
                <c:pt idx="158">
                  <c:v>0.49099999999999999</c:v>
                </c:pt>
                <c:pt idx="159">
                  <c:v>0.50600000000000001</c:v>
                </c:pt>
                <c:pt idx="160">
                  <c:v>0.54500000000000004</c:v>
                </c:pt>
                <c:pt idx="161">
                  <c:v>0.53300000000000003</c:v>
                </c:pt>
                <c:pt idx="162">
                  <c:v>0.48099999999999998</c:v>
                </c:pt>
                <c:pt idx="163">
                  <c:v>0.52100000000000002</c:v>
                </c:pt>
                <c:pt idx="164">
                  <c:v>0.53200000000000003</c:v>
                </c:pt>
                <c:pt idx="165">
                  <c:v>0.52700000000000002</c:v>
                </c:pt>
                <c:pt idx="166">
                  <c:v>0.52</c:v>
                </c:pt>
                <c:pt idx="167">
                  <c:v>0.42499999999999999</c:v>
                </c:pt>
                <c:pt idx="168">
                  <c:v>0.55400000000000005</c:v>
                </c:pt>
                <c:pt idx="169">
                  <c:v>0.53800000000000003</c:v>
                </c:pt>
                <c:pt idx="170">
                  <c:v>0.59499999999999997</c:v>
                </c:pt>
                <c:pt idx="171">
                  <c:v>0.53700000000000003</c:v>
                </c:pt>
                <c:pt idx="172">
                  <c:v>0.432</c:v>
                </c:pt>
                <c:pt idx="173">
                  <c:v>0.46700000000000003</c:v>
                </c:pt>
                <c:pt idx="174">
                  <c:v>0.56399999999999995</c:v>
                </c:pt>
                <c:pt idx="175">
                  <c:v>0.55600000000000005</c:v>
                </c:pt>
                <c:pt idx="176">
                  <c:v>0.34100000000000003</c:v>
                </c:pt>
                <c:pt idx="177">
                  <c:v>0.47</c:v>
                </c:pt>
                <c:pt idx="178">
                  <c:v>0.55900000000000005</c:v>
                </c:pt>
                <c:pt idx="179">
                  <c:v>0.3</c:v>
                </c:pt>
                <c:pt idx="180">
                  <c:v>0.58599999999999997</c:v>
                </c:pt>
                <c:pt idx="181">
                  <c:v>0.59599999999999997</c:v>
                </c:pt>
                <c:pt idx="182">
                  <c:v>0.3</c:v>
                </c:pt>
                <c:pt idx="183">
                  <c:v>0.5</c:v>
                </c:pt>
                <c:pt idx="184">
                  <c:v>0.48699999999999999</c:v>
                </c:pt>
                <c:pt idx="185">
                  <c:v>0.32300000000000001</c:v>
                </c:pt>
                <c:pt idx="186">
                  <c:v>0.46200000000000002</c:v>
                </c:pt>
                <c:pt idx="187">
                  <c:v>0.51800000000000002</c:v>
                </c:pt>
                <c:pt idx="188">
                  <c:v>0.52200000000000002</c:v>
                </c:pt>
                <c:pt idx="189">
                  <c:v>0.56499999999999995</c:v>
                </c:pt>
                <c:pt idx="190">
                  <c:v>0.49399999999999999</c:v>
                </c:pt>
                <c:pt idx="191">
                  <c:v>0.57399999999999995</c:v>
                </c:pt>
                <c:pt idx="192">
                  <c:v>0.495</c:v>
                </c:pt>
                <c:pt idx="193">
                  <c:v>0.42699999999999999</c:v>
                </c:pt>
                <c:pt idx="194">
                  <c:v>0.42399999999999999</c:v>
                </c:pt>
                <c:pt idx="195">
                  <c:v>0.48599999999999999</c:v>
                </c:pt>
                <c:pt idx="196">
                  <c:v>0.49399999999999999</c:v>
                </c:pt>
                <c:pt idx="197">
                  <c:v>0.40799999999999997</c:v>
                </c:pt>
                <c:pt idx="198">
                  <c:v>0.48799999999999999</c:v>
                </c:pt>
                <c:pt idx="199">
                  <c:v>0.50700000000000001</c:v>
                </c:pt>
                <c:pt idx="200">
                  <c:v>0.41699999999999998</c:v>
                </c:pt>
                <c:pt idx="201">
                  <c:v>0.42</c:v>
                </c:pt>
                <c:pt idx="202">
                  <c:v>0.438</c:v>
                </c:pt>
                <c:pt idx="203">
                  <c:v>0.35799999999999998</c:v>
                </c:pt>
                <c:pt idx="204">
                  <c:v>0.50600000000000001</c:v>
                </c:pt>
                <c:pt idx="205">
                  <c:v>0.51500000000000001</c:v>
                </c:pt>
                <c:pt idx="206">
                  <c:v>0.56599999999999995</c:v>
                </c:pt>
                <c:pt idx="207">
                  <c:v>0.65600000000000003</c:v>
                </c:pt>
                <c:pt idx="208">
                  <c:v>0.56899999999999995</c:v>
                </c:pt>
                <c:pt idx="209">
                  <c:v>0.50900000000000001</c:v>
                </c:pt>
                <c:pt idx="210">
                  <c:v>0.48399999999999999</c:v>
                </c:pt>
                <c:pt idx="211">
                  <c:v>0.52300000000000002</c:v>
                </c:pt>
                <c:pt idx="212">
                  <c:v>0.56399999999999995</c:v>
                </c:pt>
                <c:pt idx="213">
                  <c:v>0.67500000000000004</c:v>
                </c:pt>
                <c:pt idx="214">
                  <c:v>0.44400000000000001</c:v>
                </c:pt>
                <c:pt idx="215">
                  <c:v>0.48799999999999999</c:v>
                </c:pt>
                <c:pt idx="216">
                  <c:v>0.60799999999999998</c:v>
                </c:pt>
                <c:pt idx="217">
                  <c:v>0.51400000000000001</c:v>
                </c:pt>
                <c:pt idx="218">
                  <c:v>0.55600000000000005</c:v>
                </c:pt>
                <c:pt idx="219">
                  <c:v>0.54600000000000004</c:v>
                </c:pt>
                <c:pt idx="220">
                  <c:v>0.52200000000000002</c:v>
                </c:pt>
                <c:pt idx="221">
                  <c:v>0.49299999999999999</c:v>
                </c:pt>
                <c:pt idx="222">
                  <c:v>0.53700000000000003</c:v>
                </c:pt>
                <c:pt idx="223">
                  <c:v>0.6</c:v>
                </c:pt>
                <c:pt idx="224">
                  <c:v>0.56399999999999995</c:v>
                </c:pt>
                <c:pt idx="225">
                  <c:v>0.54200000000000004</c:v>
                </c:pt>
                <c:pt idx="226">
                  <c:v>0.49099999999999999</c:v>
                </c:pt>
                <c:pt idx="227">
                  <c:v>0.51600000000000001</c:v>
                </c:pt>
                <c:pt idx="228">
                  <c:v>0.65400000000000003</c:v>
                </c:pt>
                <c:pt idx="229">
                  <c:v>0.57299999999999995</c:v>
                </c:pt>
                <c:pt idx="230">
                  <c:v>0.58099999999999996</c:v>
                </c:pt>
                <c:pt idx="231">
                  <c:v>0.504</c:v>
                </c:pt>
                <c:pt idx="232">
                  <c:v>0.56799999999999995</c:v>
                </c:pt>
                <c:pt idx="233">
                  <c:v>0.51500000000000001</c:v>
                </c:pt>
                <c:pt idx="234">
                  <c:v>0.52900000000000003</c:v>
                </c:pt>
                <c:pt idx="235">
                  <c:v>0.54600000000000004</c:v>
                </c:pt>
                <c:pt idx="236">
                  <c:v>0.53</c:v>
                </c:pt>
                <c:pt idx="237">
                  <c:v>0.45800000000000002</c:v>
                </c:pt>
                <c:pt idx="238">
                  <c:v>0.54600000000000004</c:v>
                </c:pt>
                <c:pt idx="239">
                  <c:v>0.61599999999999999</c:v>
                </c:pt>
                <c:pt idx="240">
                  <c:v>0.53400000000000003</c:v>
                </c:pt>
                <c:pt idx="241">
                  <c:v>0.59399999999999997</c:v>
                </c:pt>
                <c:pt idx="242">
                  <c:v>0.48599999999999999</c:v>
                </c:pt>
                <c:pt idx="243">
                  <c:v>0.56000000000000005</c:v>
                </c:pt>
                <c:pt idx="244">
                  <c:v>0.51300000000000001</c:v>
                </c:pt>
                <c:pt idx="245">
                  <c:v>0.51400000000000001</c:v>
                </c:pt>
                <c:pt idx="246">
                  <c:v>0.502</c:v>
                </c:pt>
                <c:pt idx="247">
                  <c:v>0.42799999999999999</c:v>
                </c:pt>
                <c:pt idx="248">
                  <c:v>0.58699999999999997</c:v>
                </c:pt>
                <c:pt idx="249">
                  <c:v>0.61</c:v>
                </c:pt>
                <c:pt idx="250">
                  <c:v>0.52200000000000002</c:v>
                </c:pt>
                <c:pt idx="251">
                  <c:v>1</c:v>
                </c:pt>
                <c:pt idx="252">
                  <c:v>0.59599999999999997</c:v>
                </c:pt>
                <c:pt idx="253">
                  <c:v>0.57999999999999996</c:v>
                </c:pt>
                <c:pt idx="254">
                  <c:v>0.47899999999999998</c:v>
                </c:pt>
                <c:pt idx="255">
                  <c:v>0.55100000000000005</c:v>
                </c:pt>
                <c:pt idx="256">
                  <c:v>0.42599999999999999</c:v>
                </c:pt>
                <c:pt idx="257">
                  <c:v>0.56599999999999995</c:v>
                </c:pt>
                <c:pt idx="258">
                  <c:v>0.49199999999999999</c:v>
                </c:pt>
                <c:pt idx="259">
                  <c:v>0.53</c:v>
                </c:pt>
                <c:pt idx="260">
                  <c:v>0.54400000000000004</c:v>
                </c:pt>
                <c:pt idx="261">
                  <c:v>0.53400000000000003</c:v>
                </c:pt>
                <c:pt idx="262">
                  <c:v>0.53800000000000003</c:v>
                </c:pt>
                <c:pt idx="263">
                  <c:v>0.53400000000000003</c:v>
                </c:pt>
                <c:pt idx="264">
                  <c:v>0.54400000000000004</c:v>
                </c:pt>
                <c:pt idx="265">
                  <c:v>0.51500000000000001</c:v>
                </c:pt>
                <c:pt idx="266">
                  <c:v>0.45100000000000001</c:v>
                </c:pt>
                <c:pt idx="267">
                  <c:v>0.61399999999999999</c:v>
                </c:pt>
                <c:pt idx="268">
                  <c:v>0.50900000000000001</c:v>
                </c:pt>
                <c:pt idx="269">
                  <c:v>0.47299999999999998</c:v>
                </c:pt>
                <c:pt idx="270">
                  <c:v>0.59</c:v>
                </c:pt>
                <c:pt idx="271">
                  <c:v>0.438</c:v>
                </c:pt>
                <c:pt idx="272">
                  <c:v>0.55600000000000005</c:v>
                </c:pt>
                <c:pt idx="273">
                  <c:v>0.436</c:v>
                </c:pt>
                <c:pt idx="274">
                  <c:v>0.48399999999999999</c:v>
                </c:pt>
                <c:pt idx="275">
                  <c:v>0.53</c:v>
                </c:pt>
                <c:pt idx="276">
                  <c:v>0.64600000000000002</c:v>
                </c:pt>
                <c:pt idx="277">
                  <c:v>0.53600000000000003</c:v>
                </c:pt>
                <c:pt idx="278">
                  <c:v>0.44400000000000001</c:v>
                </c:pt>
                <c:pt idx="279">
                  <c:v>0.55800000000000005</c:v>
                </c:pt>
                <c:pt idx="280">
                  <c:v>0.58799999999999997</c:v>
                </c:pt>
                <c:pt idx="281">
                  <c:v>0.56299999999999994</c:v>
                </c:pt>
                <c:pt idx="282">
                  <c:v>0.59299999999999997</c:v>
                </c:pt>
                <c:pt idx="283">
                  <c:v>0.47099999999999997</c:v>
                </c:pt>
                <c:pt idx="284">
                  <c:v>0.47099999999999997</c:v>
                </c:pt>
                <c:pt idx="285">
                  <c:v>0.53800000000000003</c:v>
                </c:pt>
                <c:pt idx="286">
                  <c:v>0.40899999999999997</c:v>
                </c:pt>
                <c:pt idx="287">
                  <c:v>0.436</c:v>
                </c:pt>
                <c:pt idx="288">
                  <c:v>0.4</c:v>
                </c:pt>
                <c:pt idx="289">
                  <c:v>0.59599999999999997</c:v>
                </c:pt>
                <c:pt idx="290">
                  <c:v>0.53900000000000003</c:v>
                </c:pt>
                <c:pt idx="291">
                  <c:v>0.35299999999999998</c:v>
                </c:pt>
                <c:pt idx="292">
                  <c:v>0.41299999999999998</c:v>
                </c:pt>
                <c:pt idx="293">
                  <c:v>0.52400000000000002</c:v>
                </c:pt>
                <c:pt idx="294">
                  <c:v>0.60499999999999998</c:v>
                </c:pt>
                <c:pt idx="295">
                  <c:v>0.55700000000000005</c:v>
                </c:pt>
                <c:pt idx="296">
                  <c:v>0.45800000000000002</c:v>
                </c:pt>
                <c:pt idx="297">
                  <c:v>0.57599999999999996</c:v>
                </c:pt>
                <c:pt idx="298">
                  <c:v>0.55200000000000005</c:v>
                </c:pt>
                <c:pt idx="299">
                  <c:v>0.55400000000000005</c:v>
                </c:pt>
                <c:pt idx="300">
                  <c:v>0.53300000000000003</c:v>
                </c:pt>
                <c:pt idx="301">
                  <c:v>0.55400000000000005</c:v>
                </c:pt>
                <c:pt idx="302">
                  <c:v>0.52300000000000002</c:v>
                </c:pt>
                <c:pt idx="303">
                  <c:v>0.55900000000000005</c:v>
                </c:pt>
                <c:pt idx="304">
                  <c:v>0.54800000000000004</c:v>
                </c:pt>
                <c:pt idx="305">
                  <c:v>0.56000000000000005</c:v>
                </c:pt>
                <c:pt idx="306">
                  <c:v>0.45400000000000001</c:v>
                </c:pt>
                <c:pt idx="307">
                  <c:v>0.503</c:v>
                </c:pt>
                <c:pt idx="308">
                  <c:v>0.52700000000000002</c:v>
                </c:pt>
                <c:pt idx="309">
                  <c:v>0.48399999999999999</c:v>
                </c:pt>
                <c:pt idx="310">
                  <c:v>0.48499999999999999</c:v>
                </c:pt>
                <c:pt idx="311">
                  <c:v>0.54400000000000004</c:v>
                </c:pt>
                <c:pt idx="312">
                  <c:v>0.54700000000000004</c:v>
                </c:pt>
                <c:pt idx="313">
                  <c:v>0.55000000000000004</c:v>
                </c:pt>
                <c:pt idx="314">
                  <c:v>0.54900000000000004</c:v>
                </c:pt>
                <c:pt idx="315">
                  <c:v>0.52200000000000002</c:v>
                </c:pt>
                <c:pt idx="316">
                  <c:v>0.53700000000000003</c:v>
                </c:pt>
                <c:pt idx="317">
                  <c:v>0.498</c:v>
                </c:pt>
                <c:pt idx="318">
                  <c:v>0.48799999999999999</c:v>
                </c:pt>
                <c:pt idx="319">
                  <c:v>0.54800000000000004</c:v>
                </c:pt>
                <c:pt idx="320">
                  <c:v>0.48699999999999999</c:v>
                </c:pt>
                <c:pt idx="321">
                  <c:v>0.48499999999999999</c:v>
                </c:pt>
                <c:pt idx="322">
                  <c:v>0.52300000000000002</c:v>
                </c:pt>
                <c:pt idx="323">
                  <c:v>0.55000000000000004</c:v>
                </c:pt>
                <c:pt idx="324">
                  <c:v>0.44900000000000001</c:v>
                </c:pt>
                <c:pt idx="325">
                  <c:v>0.59699999999999998</c:v>
                </c:pt>
                <c:pt idx="326">
                  <c:v>0.52</c:v>
                </c:pt>
                <c:pt idx="327">
                  <c:v>0.57099999999999995</c:v>
                </c:pt>
                <c:pt idx="328">
                  <c:v>0.54700000000000004</c:v>
                </c:pt>
                <c:pt idx="329">
                  <c:v>0.56899999999999995</c:v>
                </c:pt>
                <c:pt idx="330">
                  <c:v>0.44500000000000001</c:v>
                </c:pt>
                <c:pt idx="331">
                  <c:v>0.48399999999999999</c:v>
                </c:pt>
                <c:pt idx="332">
                  <c:v>0.503</c:v>
                </c:pt>
                <c:pt idx="333">
                  <c:v>0.502</c:v>
                </c:pt>
                <c:pt idx="334">
                  <c:v>0.502</c:v>
                </c:pt>
                <c:pt idx="335">
                  <c:v>0.51</c:v>
                </c:pt>
                <c:pt idx="336">
                  <c:v>0.502</c:v>
                </c:pt>
                <c:pt idx="337">
                  <c:v>0.47299999999999998</c:v>
                </c:pt>
                <c:pt idx="338">
                  <c:v>0.52600000000000002</c:v>
                </c:pt>
                <c:pt idx="339">
                  <c:v>0.45900000000000002</c:v>
                </c:pt>
                <c:pt idx="340">
                  <c:v>0.54700000000000004</c:v>
                </c:pt>
                <c:pt idx="341">
                  <c:v>0.56999999999999995</c:v>
                </c:pt>
                <c:pt idx="342">
                  <c:v>0.56899999999999995</c:v>
                </c:pt>
                <c:pt idx="343">
                  <c:v>0.57599999999999996</c:v>
                </c:pt>
                <c:pt idx="344">
                  <c:v>0.53500000000000003</c:v>
                </c:pt>
                <c:pt idx="345">
                  <c:v>0.45400000000000001</c:v>
                </c:pt>
                <c:pt idx="346">
                  <c:v>0.57599999999999996</c:v>
                </c:pt>
                <c:pt idx="347">
                  <c:v>0.58599999999999997</c:v>
                </c:pt>
                <c:pt idx="348">
                  <c:v>0.60799999999999998</c:v>
                </c:pt>
                <c:pt idx="349">
                  <c:v>0.48299999999999998</c:v>
                </c:pt>
                <c:pt idx="350">
                  <c:v>0.49299999999999999</c:v>
                </c:pt>
                <c:pt idx="351">
                  <c:v>0.58799999999999997</c:v>
                </c:pt>
                <c:pt idx="352">
                  <c:v>0.38900000000000001</c:v>
                </c:pt>
                <c:pt idx="353">
                  <c:v>0.57099999999999995</c:v>
                </c:pt>
                <c:pt idx="354">
                  <c:v>0.5</c:v>
                </c:pt>
                <c:pt idx="355">
                  <c:v>0.58399999999999996</c:v>
                </c:pt>
                <c:pt idx="356">
                  <c:v>0.55400000000000005</c:v>
                </c:pt>
                <c:pt idx="357">
                  <c:v>0.54700000000000004</c:v>
                </c:pt>
                <c:pt idx="358">
                  <c:v>0.505</c:v>
                </c:pt>
                <c:pt idx="359">
                  <c:v>0.60899999999999999</c:v>
                </c:pt>
                <c:pt idx="360">
                  <c:v>0.499</c:v>
                </c:pt>
                <c:pt idx="361">
                  <c:v>0.56299999999999994</c:v>
                </c:pt>
                <c:pt idx="362">
                  <c:v>0.47499999999999998</c:v>
                </c:pt>
                <c:pt idx="363">
                  <c:v>0.496</c:v>
                </c:pt>
                <c:pt idx="364">
                  <c:v>0.313</c:v>
                </c:pt>
                <c:pt idx="365">
                  <c:v>0.46100000000000002</c:v>
                </c:pt>
                <c:pt idx="366">
                  <c:v>0.49399999999999999</c:v>
                </c:pt>
                <c:pt idx="367">
                  <c:v>0.33300000000000002</c:v>
                </c:pt>
                <c:pt idx="368">
                  <c:v>0.40500000000000003</c:v>
                </c:pt>
                <c:pt idx="369">
                  <c:v>0.41699999999999998</c:v>
                </c:pt>
                <c:pt idx="370">
                  <c:v>0.47099999999999997</c:v>
                </c:pt>
                <c:pt idx="371">
                  <c:v>0.40300000000000002</c:v>
                </c:pt>
                <c:pt idx="372">
                  <c:v>0.54900000000000004</c:v>
                </c:pt>
                <c:pt idx="373">
                  <c:v>0.46200000000000002</c:v>
                </c:pt>
                <c:pt idx="374">
                  <c:v>0.48599999999999999</c:v>
                </c:pt>
                <c:pt idx="375">
                  <c:v>0.56299999999999994</c:v>
                </c:pt>
                <c:pt idx="376">
                  <c:v>0.439</c:v>
                </c:pt>
                <c:pt idx="377">
                  <c:v>0.48099999999999998</c:v>
                </c:pt>
                <c:pt idx="378">
                  <c:v>0.66700000000000004</c:v>
                </c:pt>
                <c:pt idx="379">
                  <c:v>0.15</c:v>
                </c:pt>
                <c:pt idx="380">
                  <c:v>0.55300000000000005</c:v>
                </c:pt>
                <c:pt idx="381">
                  <c:v>0.36</c:v>
                </c:pt>
                <c:pt idx="382">
                  <c:v>0.84599999999999997</c:v>
                </c:pt>
                <c:pt idx="383">
                  <c:v>0.54800000000000004</c:v>
                </c:pt>
                <c:pt idx="384">
                  <c:v>0.47599999999999998</c:v>
                </c:pt>
                <c:pt idx="385">
                  <c:v>0.47</c:v>
                </c:pt>
                <c:pt idx="386">
                  <c:v>0.49299999999999999</c:v>
                </c:pt>
                <c:pt idx="387">
                  <c:v>0.52100000000000002</c:v>
                </c:pt>
                <c:pt idx="388">
                  <c:v>0.52200000000000002</c:v>
                </c:pt>
                <c:pt idx="389">
                  <c:v>0.56999999999999995</c:v>
                </c:pt>
                <c:pt idx="390">
                  <c:v>0.56100000000000005</c:v>
                </c:pt>
                <c:pt idx="391">
                  <c:v>0.52500000000000002</c:v>
                </c:pt>
                <c:pt idx="392">
                  <c:v>0.46400000000000002</c:v>
                </c:pt>
                <c:pt idx="393">
                  <c:v>0.51100000000000001</c:v>
                </c:pt>
                <c:pt idx="394">
                  <c:v>0.52600000000000002</c:v>
                </c:pt>
                <c:pt idx="395">
                  <c:v>0.51500000000000001</c:v>
                </c:pt>
                <c:pt idx="396">
                  <c:v>0.46600000000000003</c:v>
                </c:pt>
                <c:pt idx="397">
                  <c:v>0.47099999999999997</c:v>
                </c:pt>
                <c:pt idx="398">
                  <c:v>0.503</c:v>
                </c:pt>
                <c:pt idx="399">
                  <c:v>0.41099999999999998</c:v>
                </c:pt>
                <c:pt idx="400">
                  <c:v>0.47799999999999998</c:v>
                </c:pt>
                <c:pt idx="401">
                  <c:v>0.51300000000000001</c:v>
                </c:pt>
                <c:pt idx="402">
                  <c:v>0.50700000000000001</c:v>
                </c:pt>
                <c:pt idx="403">
                  <c:v>0.35299999999999998</c:v>
                </c:pt>
                <c:pt idx="404">
                  <c:v>0.5</c:v>
                </c:pt>
                <c:pt idx="405">
                  <c:v>0.53500000000000003</c:v>
                </c:pt>
                <c:pt idx="406">
                  <c:v>0.5</c:v>
                </c:pt>
                <c:pt idx="407">
                  <c:v>0.496</c:v>
                </c:pt>
                <c:pt idx="408">
                  <c:v>0.40200000000000002</c:v>
                </c:pt>
                <c:pt idx="409">
                  <c:v>0.435</c:v>
                </c:pt>
                <c:pt idx="410">
                  <c:v>0.43</c:v>
                </c:pt>
                <c:pt idx="411">
                  <c:v>0.53700000000000003</c:v>
                </c:pt>
                <c:pt idx="412">
                  <c:v>0.47399999999999998</c:v>
                </c:pt>
                <c:pt idx="413">
                  <c:v>0.51400000000000001</c:v>
                </c:pt>
                <c:pt idx="414">
                  <c:v>0.57599999999999996</c:v>
                </c:pt>
                <c:pt idx="415">
                  <c:v>0.56000000000000005</c:v>
                </c:pt>
                <c:pt idx="416">
                  <c:v>0.54600000000000004</c:v>
                </c:pt>
                <c:pt idx="417">
                  <c:v>0.53200000000000003</c:v>
                </c:pt>
                <c:pt idx="418">
                  <c:v>0.56999999999999995</c:v>
                </c:pt>
                <c:pt idx="419">
                  <c:v>0.55800000000000005</c:v>
                </c:pt>
                <c:pt idx="420">
                  <c:v>0.48899999999999999</c:v>
                </c:pt>
                <c:pt idx="421">
                  <c:v>0.52700000000000002</c:v>
                </c:pt>
                <c:pt idx="422">
                  <c:v>0.59599999999999997</c:v>
                </c:pt>
                <c:pt idx="423">
                  <c:v>0.54800000000000004</c:v>
                </c:pt>
                <c:pt idx="424">
                  <c:v>0.60199999999999998</c:v>
                </c:pt>
                <c:pt idx="425">
                  <c:v>0.51400000000000001</c:v>
                </c:pt>
                <c:pt idx="426">
                  <c:v>0.48499999999999999</c:v>
                </c:pt>
                <c:pt idx="427">
                  <c:v>0.48899999999999999</c:v>
                </c:pt>
                <c:pt idx="428">
                  <c:v>0.41299999999999998</c:v>
                </c:pt>
                <c:pt idx="429">
                  <c:v>0.69599999999999995</c:v>
                </c:pt>
                <c:pt idx="430">
                  <c:v>0.438</c:v>
                </c:pt>
                <c:pt idx="431">
                  <c:v>0.52900000000000003</c:v>
                </c:pt>
                <c:pt idx="432">
                  <c:v>0.57799999999999996</c:v>
                </c:pt>
                <c:pt idx="433">
                  <c:v>0.42299999999999999</c:v>
                </c:pt>
                <c:pt idx="434">
                  <c:v>0.499</c:v>
                </c:pt>
                <c:pt idx="435">
                  <c:v>0.504</c:v>
                </c:pt>
                <c:pt idx="436">
                  <c:v>0.58199999999999996</c:v>
                </c:pt>
                <c:pt idx="437">
                  <c:v>0.51700000000000002</c:v>
                </c:pt>
                <c:pt idx="438">
                  <c:v>0.499</c:v>
                </c:pt>
                <c:pt idx="439">
                  <c:v>0.47599999999999998</c:v>
                </c:pt>
                <c:pt idx="440">
                  <c:v>0.51300000000000001</c:v>
                </c:pt>
                <c:pt idx="441">
                  <c:v>0.46500000000000002</c:v>
                </c:pt>
                <c:pt idx="442">
                  <c:v>0.52200000000000002</c:v>
                </c:pt>
                <c:pt idx="443">
                  <c:v>0.55100000000000005</c:v>
                </c:pt>
                <c:pt idx="444">
                  <c:v>0.50600000000000001</c:v>
                </c:pt>
                <c:pt idx="445">
                  <c:v>0.54</c:v>
                </c:pt>
                <c:pt idx="446">
                  <c:v>0.40300000000000002</c:v>
                </c:pt>
                <c:pt idx="447">
                  <c:v>0.60699999999999998</c:v>
                </c:pt>
                <c:pt idx="448">
                  <c:v>0.51900000000000002</c:v>
                </c:pt>
                <c:pt idx="449">
                  <c:v>0.56499999999999995</c:v>
                </c:pt>
                <c:pt idx="450">
                  <c:v>8.3000000000000004E-2</c:v>
                </c:pt>
                <c:pt idx="451">
                  <c:v>0.503</c:v>
                </c:pt>
                <c:pt idx="452">
                  <c:v>0.45500000000000002</c:v>
                </c:pt>
                <c:pt idx="453">
                  <c:v>0.47299999999999998</c:v>
                </c:pt>
                <c:pt idx="454">
                  <c:v>0.46899999999999997</c:v>
                </c:pt>
                <c:pt idx="455">
                  <c:v>0.14299999999999999</c:v>
                </c:pt>
                <c:pt idx="456">
                  <c:v>0.35299999999999998</c:v>
                </c:pt>
                <c:pt idx="457">
                  <c:v>0.39800000000000002</c:v>
                </c:pt>
                <c:pt idx="458">
                  <c:v>0.57399999999999995</c:v>
                </c:pt>
                <c:pt idx="459">
                  <c:v>0.41699999999999998</c:v>
                </c:pt>
                <c:pt idx="460">
                  <c:v>0.44900000000000001</c:v>
                </c:pt>
                <c:pt idx="461">
                  <c:v>0.52800000000000002</c:v>
                </c:pt>
                <c:pt idx="462">
                  <c:v>0.52600000000000002</c:v>
                </c:pt>
                <c:pt idx="463">
                  <c:v>0.52800000000000002</c:v>
                </c:pt>
                <c:pt idx="464">
                  <c:v>0.50800000000000001</c:v>
                </c:pt>
                <c:pt idx="465">
                  <c:v>0.51600000000000001</c:v>
                </c:pt>
                <c:pt idx="466">
                  <c:v>0.498</c:v>
                </c:pt>
                <c:pt idx="467">
                  <c:v>0.46700000000000003</c:v>
                </c:pt>
                <c:pt idx="468">
                  <c:v>0.61799999999999999</c:v>
                </c:pt>
                <c:pt idx="469">
                  <c:v>0.56200000000000006</c:v>
                </c:pt>
                <c:pt idx="470">
                  <c:v>0.58699999999999997</c:v>
                </c:pt>
                <c:pt idx="471">
                  <c:v>0.497</c:v>
                </c:pt>
                <c:pt idx="472">
                  <c:v>0.54900000000000004</c:v>
                </c:pt>
                <c:pt idx="473">
                  <c:v>0.48499999999999999</c:v>
                </c:pt>
                <c:pt idx="474">
                  <c:v>0.45300000000000001</c:v>
                </c:pt>
                <c:pt idx="475">
                  <c:v>0.52</c:v>
                </c:pt>
                <c:pt idx="476">
                  <c:v>0.44800000000000001</c:v>
                </c:pt>
                <c:pt idx="477">
                  <c:v>0.503</c:v>
                </c:pt>
                <c:pt idx="478">
                  <c:v>0.57599999999999996</c:v>
                </c:pt>
                <c:pt idx="479">
                  <c:v>0.57799999999999996</c:v>
                </c:pt>
                <c:pt idx="480">
                  <c:v>0.28599999999999998</c:v>
                </c:pt>
                <c:pt idx="481">
                  <c:v>0.52500000000000002</c:v>
                </c:pt>
                <c:pt idx="482">
                  <c:v>0.61199999999999999</c:v>
                </c:pt>
                <c:pt idx="483">
                  <c:v>0.443</c:v>
                </c:pt>
                <c:pt idx="484">
                  <c:v>0.53900000000000003</c:v>
                </c:pt>
                <c:pt idx="485">
                  <c:v>0.111</c:v>
                </c:pt>
                <c:pt idx="486">
                  <c:v>0.55600000000000005</c:v>
                </c:pt>
                <c:pt idx="487">
                  <c:v>0.505</c:v>
                </c:pt>
                <c:pt idx="488">
                  <c:v>0.111</c:v>
                </c:pt>
                <c:pt idx="489">
                  <c:v>0.125</c:v>
                </c:pt>
                <c:pt idx="490">
                  <c:v>0.17899999999999999</c:v>
                </c:pt>
                <c:pt idx="491">
                  <c:v>0.47499999999999998</c:v>
                </c:pt>
                <c:pt idx="492">
                  <c:v>0.59</c:v>
                </c:pt>
                <c:pt idx="493">
                  <c:v>0.50800000000000001</c:v>
                </c:pt>
                <c:pt idx="494">
                  <c:v>0.54800000000000004</c:v>
                </c:pt>
                <c:pt idx="495">
                  <c:v>0.75</c:v>
                </c:pt>
                <c:pt idx="496">
                  <c:v>0.33700000000000002</c:v>
                </c:pt>
                <c:pt idx="497">
                  <c:v>0.42899999999999999</c:v>
                </c:pt>
                <c:pt idx="498">
                  <c:v>0</c:v>
                </c:pt>
                <c:pt idx="499">
                  <c:v>0.39500000000000002</c:v>
                </c:pt>
                <c:pt idx="500">
                  <c:v>0.54500000000000004</c:v>
                </c:pt>
                <c:pt idx="501">
                  <c:v>0.318</c:v>
                </c:pt>
                <c:pt idx="502">
                  <c:v>0.52</c:v>
                </c:pt>
                <c:pt idx="503">
                  <c:v>0.56999999999999995</c:v>
                </c:pt>
                <c:pt idx="504">
                  <c:v>0.42599999999999999</c:v>
                </c:pt>
                <c:pt idx="505">
                  <c:v>0.49399999999999999</c:v>
                </c:pt>
                <c:pt idx="506">
                  <c:v>0.47599999999999998</c:v>
                </c:pt>
                <c:pt idx="507">
                  <c:v>0.56100000000000005</c:v>
                </c:pt>
                <c:pt idx="508">
                  <c:v>0.48099999999999998</c:v>
                </c:pt>
                <c:pt idx="509">
                  <c:v>0.49</c:v>
                </c:pt>
                <c:pt idx="510">
                  <c:v>0.51</c:v>
                </c:pt>
                <c:pt idx="511">
                  <c:v>0.42899999999999999</c:v>
                </c:pt>
                <c:pt idx="512">
                  <c:v>0.5</c:v>
                </c:pt>
              </c:numCache>
            </c:numRef>
          </c:yVal>
          <c:smooth val="0"/>
          <c:extLst>
            <c:ext xmlns:c16="http://schemas.microsoft.com/office/drawing/2014/chart" uri="{C3380CC4-5D6E-409C-BE32-E72D297353CC}">
              <c16:uniqueId val="{00000000-2853-C54D-A2FE-B66253E430D8}"/>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Salary ($) vs. Assist to Turnover</a:t>
            </a:r>
            <a:r>
              <a:rPr lang="en-US" baseline="0"/>
              <a:t> Ratio</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v>ASTTOV vs. Salary</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Data!$K$2:$K$514</c:f>
              <c:numCache>
                <c:formatCode>General</c:formatCode>
                <c:ptCount val="513"/>
                <c:pt idx="0">
                  <c:v>29592696</c:v>
                </c:pt>
                <c:pt idx="1">
                  <c:v>29542010</c:v>
                </c:pt>
                <c:pt idx="2">
                  <c:v>29467800</c:v>
                </c:pt>
                <c:pt idx="3">
                  <c:v>29467800</c:v>
                </c:pt>
                <c:pt idx="4">
                  <c:v>27525281</c:v>
                </c:pt>
                <c:pt idx="5">
                  <c:v>27500000</c:v>
                </c:pt>
                <c:pt idx="6">
                  <c:v>15000000</c:v>
                </c:pt>
                <c:pt idx="7">
                  <c:v>13015873</c:v>
                </c:pt>
                <c:pt idx="8">
                  <c:v>12888889</c:v>
                </c:pt>
                <c:pt idx="9">
                  <c:v>11080125</c:v>
                </c:pt>
                <c:pt idx="10">
                  <c:v>9562920</c:v>
                </c:pt>
                <c:pt idx="11">
                  <c:v>9258000</c:v>
                </c:pt>
                <c:pt idx="12">
                  <c:v>9258000</c:v>
                </c:pt>
                <c:pt idx="13">
                  <c:v>9258000</c:v>
                </c:pt>
                <c:pt idx="14">
                  <c:v>9250000</c:v>
                </c:pt>
                <c:pt idx="15">
                  <c:v>8730240</c:v>
                </c:pt>
                <c:pt idx="16">
                  <c:v>8101852</c:v>
                </c:pt>
                <c:pt idx="17">
                  <c:v>7257360</c:v>
                </c:pt>
                <c:pt idx="18">
                  <c:v>7000000</c:v>
                </c:pt>
                <c:pt idx="19">
                  <c:v>5105160</c:v>
                </c:pt>
                <c:pt idx="20">
                  <c:v>5005350</c:v>
                </c:pt>
                <c:pt idx="21">
                  <c:v>5005350</c:v>
                </c:pt>
                <c:pt idx="22">
                  <c:v>5005350</c:v>
                </c:pt>
                <c:pt idx="23">
                  <c:v>4464226</c:v>
                </c:pt>
                <c:pt idx="24">
                  <c:v>4100000</c:v>
                </c:pt>
                <c:pt idx="25">
                  <c:v>3500000</c:v>
                </c:pt>
                <c:pt idx="26">
                  <c:v>2564753</c:v>
                </c:pt>
                <c:pt idx="27">
                  <c:v>2283034</c:v>
                </c:pt>
                <c:pt idx="28">
                  <c:v>1977000</c:v>
                </c:pt>
                <c:pt idx="29">
                  <c:v>1620564</c:v>
                </c:pt>
                <c:pt idx="30">
                  <c:v>1620564</c:v>
                </c:pt>
                <c:pt idx="31">
                  <c:v>1620564</c:v>
                </c:pt>
                <c:pt idx="32">
                  <c:v>1620564</c:v>
                </c:pt>
                <c:pt idx="33">
                  <c:v>1620564</c:v>
                </c:pt>
                <c:pt idx="34">
                  <c:v>1517981</c:v>
                </c:pt>
                <c:pt idx="35">
                  <c:v>898310</c:v>
                </c:pt>
                <c:pt idx="36">
                  <c:v>700000</c:v>
                </c:pt>
                <c:pt idx="37">
                  <c:v>449155</c:v>
                </c:pt>
                <c:pt idx="38">
                  <c:v>449155</c:v>
                </c:pt>
                <c:pt idx="39">
                  <c:v>26000000</c:v>
                </c:pt>
                <c:pt idx="40">
                  <c:v>24000000</c:v>
                </c:pt>
                <c:pt idx="41">
                  <c:v>5448840</c:v>
                </c:pt>
                <c:pt idx="42">
                  <c:v>5000000</c:v>
                </c:pt>
                <c:pt idx="43">
                  <c:v>4200000</c:v>
                </c:pt>
                <c:pt idx="44">
                  <c:v>3909902</c:v>
                </c:pt>
                <c:pt idx="45">
                  <c:v>3542060</c:v>
                </c:pt>
                <c:pt idx="46">
                  <c:v>3000000</c:v>
                </c:pt>
                <c:pt idx="47">
                  <c:v>2250000</c:v>
                </c:pt>
                <c:pt idx="48">
                  <c:v>1620564</c:v>
                </c:pt>
                <c:pt idx="49">
                  <c:v>1517981</c:v>
                </c:pt>
                <c:pt idx="50">
                  <c:v>1265372</c:v>
                </c:pt>
                <c:pt idx="51">
                  <c:v>1000000</c:v>
                </c:pt>
                <c:pt idx="52">
                  <c:v>794536</c:v>
                </c:pt>
                <c:pt idx="53">
                  <c:v>500000</c:v>
                </c:pt>
                <c:pt idx="54">
                  <c:v>449155</c:v>
                </c:pt>
                <c:pt idx="55">
                  <c:v>237965</c:v>
                </c:pt>
                <c:pt idx="56">
                  <c:v>233095</c:v>
                </c:pt>
                <c:pt idx="57">
                  <c:v>221995</c:v>
                </c:pt>
                <c:pt idx="58">
                  <c:v>29542010</c:v>
                </c:pt>
                <c:pt idx="59">
                  <c:v>18000000</c:v>
                </c:pt>
                <c:pt idx="60">
                  <c:v>16000000</c:v>
                </c:pt>
                <c:pt idx="61">
                  <c:v>15415730</c:v>
                </c:pt>
                <c:pt idx="62">
                  <c:v>12697674</c:v>
                </c:pt>
                <c:pt idx="63">
                  <c:v>10375678</c:v>
                </c:pt>
                <c:pt idx="64">
                  <c:v>9400000</c:v>
                </c:pt>
                <c:pt idx="65">
                  <c:v>9258000</c:v>
                </c:pt>
                <c:pt idx="66">
                  <c:v>8333333</c:v>
                </c:pt>
                <c:pt idx="67">
                  <c:v>8000000</c:v>
                </c:pt>
                <c:pt idx="68">
                  <c:v>7529020</c:v>
                </c:pt>
                <c:pt idx="69">
                  <c:v>7300000</c:v>
                </c:pt>
                <c:pt idx="70">
                  <c:v>7000000</c:v>
                </c:pt>
                <c:pt idx="71">
                  <c:v>6750000</c:v>
                </c:pt>
                <c:pt idx="72">
                  <c:v>5969040</c:v>
                </c:pt>
                <c:pt idx="73">
                  <c:v>5813640</c:v>
                </c:pt>
                <c:pt idx="74">
                  <c:v>5115492</c:v>
                </c:pt>
                <c:pt idx="75">
                  <c:v>5000000</c:v>
                </c:pt>
                <c:pt idx="76">
                  <c:v>3623000</c:v>
                </c:pt>
                <c:pt idx="77">
                  <c:v>3500000</c:v>
                </c:pt>
                <c:pt idx="78">
                  <c:v>3121080</c:v>
                </c:pt>
                <c:pt idx="79">
                  <c:v>2957520</c:v>
                </c:pt>
                <c:pt idx="80">
                  <c:v>2029920</c:v>
                </c:pt>
                <c:pt idx="81">
                  <c:v>1882867</c:v>
                </c:pt>
                <c:pt idx="82">
                  <c:v>1663861</c:v>
                </c:pt>
                <c:pt idx="83">
                  <c:v>1620564</c:v>
                </c:pt>
                <c:pt idx="84">
                  <c:v>1620564</c:v>
                </c:pt>
                <c:pt idx="85">
                  <c:v>1620564</c:v>
                </c:pt>
                <c:pt idx="86">
                  <c:v>1517981</c:v>
                </c:pt>
                <c:pt idx="87">
                  <c:v>1517981</c:v>
                </c:pt>
                <c:pt idx="88">
                  <c:v>1517981</c:v>
                </c:pt>
                <c:pt idx="89">
                  <c:v>1442968</c:v>
                </c:pt>
                <c:pt idx="90">
                  <c:v>1350000</c:v>
                </c:pt>
                <c:pt idx="91">
                  <c:v>1087776</c:v>
                </c:pt>
                <c:pt idx="92">
                  <c:v>449155</c:v>
                </c:pt>
                <c:pt idx="93">
                  <c:v>449155</c:v>
                </c:pt>
                <c:pt idx="94">
                  <c:v>432890</c:v>
                </c:pt>
                <c:pt idx="95">
                  <c:v>35450412</c:v>
                </c:pt>
                <c:pt idx="96">
                  <c:v>34379100</c:v>
                </c:pt>
                <c:pt idx="97">
                  <c:v>32742000</c:v>
                </c:pt>
                <c:pt idx="98">
                  <c:v>29542010</c:v>
                </c:pt>
                <c:pt idx="99">
                  <c:v>27739975</c:v>
                </c:pt>
                <c:pt idx="100">
                  <c:v>27285000</c:v>
                </c:pt>
                <c:pt idx="101">
                  <c:v>22246956</c:v>
                </c:pt>
                <c:pt idx="102">
                  <c:v>22215909</c:v>
                </c:pt>
                <c:pt idx="103">
                  <c:v>17850000</c:v>
                </c:pt>
                <c:pt idx="104">
                  <c:v>14888721</c:v>
                </c:pt>
                <c:pt idx="105">
                  <c:v>14500000</c:v>
                </c:pt>
                <c:pt idx="106">
                  <c:v>14375000</c:v>
                </c:pt>
                <c:pt idx="107">
                  <c:v>13723214</c:v>
                </c:pt>
                <c:pt idx="108">
                  <c:v>13000000</c:v>
                </c:pt>
                <c:pt idx="109">
                  <c:v>12138345</c:v>
                </c:pt>
                <c:pt idx="110">
                  <c:v>11400000</c:v>
                </c:pt>
                <c:pt idx="111">
                  <c:v>10863637</c:v>
                </c:pt>
                <c:pt idx="112">
                  <c:v>10245480</c:v>
                </c:pt>
                <c:pt idx="113">
                  <c:v>9505100</c:v>
                </c:pt>
                <c:pt idx="114">
                  <c:v>9258000</c:v>
                </c:pt>
                <c:pt idx="115">
                  <c:v>9258000</c:v>
                </c:pt>
                <c:pt idx="116">
                  <c:v>8963640</c:v>
                </c:pt>
                <c:pt idx="117">
                  <c:v>8500000</c:v>
                </c:pt>
                <c:pt idx="118">
                  <c:v>8325000</c:v>
                </c:pt>
                <c:pt idx="119">
                  <c:v>7199760</c:v>
                </c:pt>
                <c:pt idx="120">
                  <c:v>7000000</c:v>
                </c:pt>
                <c:pt idx="121">
                  <c:v>6493000</c:v>
                </c:pt>
                <c:pt idx="122">
                  <c:v>5500000</c:v>
                </c:pt>
                <c:pt idx="123">
                  <c:v>4326825</c:v>
                </c:pt>
                <c:pt idx="124">
                  <c:v>4245720</c:v>
                </c:pt>
                <c:pt idx="125">
                  <c:v>4161000</c:v>
                </c:pt>
                <c:pt idx="126">
                  <c:v>4033440</c:v>
                </c:pt>
                <c:pt idx="127">
                  <c:v>4033440</c:v>
                </c:pt>
                <c:pt idx="128">
                  <c:v>4000000</c:v>
                </c:pt>
                <c:pt idx="129">
                  <c:v>3870370</c:v>
                </c:pt>
                <c:pt idx="130">
                  <c:v>3761085</c:v>
                </c:pt>
                <c:pt idx="131">
                  <c:v>3717000</c:v>
                </c:pt>
                <c:pt idx="132">
                  <c:v>3562178</c:v>
                </c:pt>
                <c:pt idx="133">
                  <c:v>3550800</c:v>
                </c:pt>
                <c:pt idx="134">
                  <c:v>3491159</c:v>
                </c:pt>
                <c:pt idx="135">
                  <c:v>3077704</c:v>
                </c:pt>
                <c:pt idx="136">
                  <c:v>2964840</c:v>
                </c:pt>
                <c:pt idx="137">
                  <c:v>2892000</c:v>
                </c:pt>
                <c:pt idx="138">
                  <c:v>2602920</c:v>
                </c:pt>
                <c:pt idx="139">
                  <c:v>2339160</c:v>
                </c:pt>
                <c:pt idx="140">
                  <c:v>2284800</c:v>
                </c:pt>
                <c:pt idx="141">
                  <c:v>2210640</c:v>
                </c:pt>
                <c:pt idx="142">
                  <c:v>2058240</c:v>
                </c:pt>
                <c:pt idx="143">
                  <c:v>2048040</c:v>
                </c:pt>
                <c:pt idx="144">
                  <c:v>2000000</c:v>
                </c:pt>
                <c:pt idx="145">
                  <c:v>1964760</c:v>
                </c:pt>
                <c:pt idx="146">
                  <c:v>1900000</c:v>
                </c:pt>
                <c:pt idx="147">
                  <c:v>1824003</c:v>
                </c:pt>
                <c:pt idx="148">
                  <c:v>1824003</c:v>
                </c:pt>
                <c:pt idx="149">
                  <c:v>1783557</c:v>
                </c:pt>
                <c:pt idx="150">
                  <c:v>1762796</c:v>
                </c:pt>
                <c:pt idx="151">
                  <c:v>1752950</c:v>
                </c:pt>
                <c:pt idx="152">
                  <c:v>1663861</c:v>
                </c:pt>
                <c:pt idx="153">
                  <c:v>1663361</c:v>
                </c:pt>
                <c:pt idx="154">
                  <c:v>1620564</c:v>
                </c:pt>
                <c:pt idx="155">
                  <c:v>1620564</c:v>
                </c:pt>
                <c:pt idx="156">
                  <c:v>1620564</c:v>
                </c:pt>
                <c:pt idx="157">
                  <c:v>1620564</c:v>
                </c:pt>
                <c:pt idx="158">
                  <c:v>1620564</c:v>
                </c:pt>
                <c:pt idx="159">
                  <c:v>1620564</c:v>
                </c:pt>
                <c:pt idx="160">
                  <c:v>1620564</c:v>
                </c:pt>
                <c:pt idx="161">
                  <c:v>1517981</c:v>
                </c:pt>
                <c:pt idx="162">
                  <c:v>1517981</c:v>
                </c:pt>
                <c:pt idx="163">
                  <c:v>1517981</c:v>
                </c:pt>
                <c:pt idx="164">
                  <c:v>1517981</c:v>
                </c:pt>
                <c:pt idx="165">
                  <c:v>1517981</c:v>
                </c:pt>
                <c:pt idx="166">
                  <c:v>1517981</c:v>
                </c:pt>
                <c:pt idx="167">
                  <c:v>1500000</c:v>
                </c:pt>
                <c:pt idx="168">
                  <c:v>1445697</c:v>
                </c:pt>
                <c:pt idx="169">
                  <c:v>1349383</c:v>
                </c:pt>
                <c:pt idx="170">
                  <c:v>1300000</c:v>
                </c:pt>
                <c:pt idx="171">
                  <c:v>1000000</c:v>
                </c:pt>
                <c:pt idx="172">
                  <c:v>898310</c:v>
                </c:pt>
                <c:pt idx="173">
                  <c:v>898310</c:v>
                </c:pt>
                <c:pt idx="174">
                  <c:v>898310</c:v>
                </c:pt>
                <c:pt idx="175">
                  <c:v>754783</c:v>
                </c:pt>
                <c:pt idx="176">
                  <c:v>449155</c:v>
                </c:pt>
                <c:pt idx="177">
                  <c:v>449155</c:v>
                </c:pt>
                <c:pt idx="178">
                  <c:v>449155</c:v>
                </c:pt>
                <c:pt idx="179">
                  <c:v>449155</c:v>
                </c:pt>
                <c:pt idx="180">
                  <c:v>449155</c:v>
                </c:pt>
                <c:pt idx="181">
                  <c:v>449155</c:v>
                </c:pt>
                <c:pt idx="182">
                  <c:v>449155</c:v>
                </c:pt>
                <c:pt idx="183">
                  <c:v>449155</c:v>
                </c:pt>
                <c:pt idx="184">
                  <c:v>449155</c:v>
                </c:pt>
                <c:pt idx="185">
                  <c:v>449155</c:v>
                </c:pt>
                <c:pt idx="186">
                  <c:v>120000</c:v>
                </c:pt>
                <c:pt idx="187">
                  <c:v>28489237</c:v>
                </c:pt>
                <c:pt idx="188">
                  <c:v>18136364</c:v>
                </c:pt>
                <c:pt idx="189">
                  <c:v>17150000</c:v>
                </c:pt>
                <c:pt idx="190">
                  <c:v>16047100</c:v>
                </c:pt>
                <c:pt idx="191">
                  <c:v>12598243</c:v>
                </c:pt>
                <c:pt idx="192">
                  <c:v>12250000</c:v>
                </c:pt>
                <c:pt idx="193">
                  <c:v>10047450</c:v>
                </c:pt>
                <c:pt idx="194">
                  <c:v>9720900</c:v>
                </c:pt>
                <c:pt idx="195">
                  <c:v>7969537</c:v>
                </c:pt>
                <c:pt idx="196">
                  <c:v>4548280</c:v>
                </c:pt>
                <c:pt idx="197">
                  <c:v>4102564</c:v>
                </c:pt>
                <c:pt idx="198">
                  <c:v>3623000</c:v>
                </c:pt>
                <c:pt idx="199">
                  <c:v>3219480</c:v>
                </c:pt>
                <c:pt idx="200">
                  <c:v>2443440</c:v>
                </c:pt>
                <c:pt idx="201">
                  <c:v>2000000</c:v>
                </c:pt>
                <c:pt idx="202">
                  <c:v>1780152</c:v>
                </c:pt>
                <c:pt idx="203">
                  <c:v>1678854</c:v>
                </c:pt>
                <c:pt idx="204">
                  <c:v>1663861</c:v>
                </c:pt>
                <c:pt idx="205">
                  <c:v>1663861</c:v>
                </c:pt>
                <c:pt idx="206">
                  <c:v>1620564</c:v>
                </c:pt>
                <c:pt idx="207">
                  <c:v>1517981</c:v>
                </c:pt>
                <c:pt idx="208">
                  <c:v>1517981</c:v>
                </c:pt>
                <c:pt idx="209">
                  <c:v>776983</c:v>
                </c:pt>
                <c:pt idx="210">
                  <c:v>449155</c:v>
                </c:pt>
                <c:pt idx="211">
                  <c:v>432890</c:v>
                </c:pt>
                <c:pt idx="212">
                  <c:v>430729</c:v>
                </c:pt>
                <c:pt idx="213">
                  <c:v>396081</c:v>
                </c:pt>
                <c:pt idx="214">
                  <c:v>154433</c:v>
                </c:pt>
                <c:pt idx="215">
                  <c:v>49510</c:v>
                </c:pt>
                <c:pt idx="216">
                  <c:v>40108950</c:v>
                </c:pt>
                <c:pt idx="217">
                  <c:v>34379100</c:v>
                </c:pt>
                <c:pt idx="218">
                  <c:v>34358850</c:v>
                </c:pt>
                <c:pt idx="219">
                  <c:v>33051724</c:v>
                </c:pt>
                <c:pt idx="220">
                  <c:v>31258256</c:v>
                </c:pt>
                <c:pt idx="221">
                  <c:v>30559200</c:v>
                </c:pt>
                <c:pt idx="222">
                  <c:v>28500000</c:v>
                </c:pt>
                <c:pt idx="223">
                  <c:v>27528090</c:v>
                </c:pt>
                <c:pt idx="224">
                  <c:v>19800000</c:v>
                </c:pt>
                <c:pt idx="225">
                  <c:v>19500000</c:v>
                </c:pt>
                <c:pt idx="226">
                  <c:v>19050000</c:v>
                </c:pt>
                <c:pt idx="227">
                  <c:v>18900000</c:v>
                </c:pt>
                <c:pt idx="228">
                  <c:v>16071429</c:v>
                </c:pt>
                <c:pt idx="229">
                  <c:v>15365853</c:v>
                </c:pt>
                <c:pt idx="230">
                  <c:v>15000000</c:v>
                </c:pt>
                <c:pt idx="231">
                  <c:v>15000000</c:v>
                </c:pt>
                <c:pt idx="232">
                  <c:v>13545000</c:v>
                </c:pt>
                <c:pt idx="233">
                  <c:v>12800000</c:v>
                </c:pt>
                <c:pt idx="234">
                  <c:v>12500000</c:v>
                </c:pt>
                <c:pt idx="235">
                  <c:v>11709091</c:v>
                </c:pt>
                <c:pt idx="236">
                  <c:v>9897120</c:v>
                </c:pt>
                <c:pt idx="237">
                  <c:v>8840580</c:v>
                </c:pt>
                <c:pt idx="238">
                  <c:v>7422000</c:v>
                </c:pt>
                <c:pt idx="239">
                  <c:v>7333333</c:v>
                </c:pt>
                <c:pt idx="240">
                  <c:v>7068360</c:v>
                </c:pt>
                <c:pt idx="241">
                  <c:v>6731508</c:v>
                </c:pt>
                <c:pt idx="242">
                  <c:v>5005350</c:v>
                </c:pt>
                <c:pt idx="243">
                  <c:v>4862040</c:v>
                </c:pt>
                <c:pt idx="244">
                  <c:v>4692840</c:v>
                </c:pt>
                <c:pt idx="245">
                  <c:v>4588680</c:v>
                </c:pt>
                <c:pt idx="246">
                  <c:v>4469160</c:v>
                </c:pt>
                <c:pt idx="247">
                  <c:v>4458000</c:v>
                </c:pt>
                <c:pt idx="248">
                  <c:v>4200000</c:v>
                </c:pt>
                <c:pt idx="249">
                  <c:v>4137302</c:v>
                </c:pt>
                <c:pt idx="250">
                  <c:v>4023600</c:v>
                </c:pt>
                <c:pt idx="251">
                  <c:v>4000000</c:v>
                </c:pt>
                <c:pt idx="252">
                  <c:v>3934320</c:v>
                </c:pt>
                <c:pt idx="253">
                  <c:v>3872215</c:v>
                </c:pt>
                <c:pt idx="254">
                  <c:v>3804150</c:v>
                </c:pt>
                <c:pt idx="255">
                  <c:v>3458400</c:v>
                </c:pt>
                <c:pt idx="256">
                  <c:v>3449400</c:v>
                </c:pt>
                <c:pt idx="257">
                  <c:v>3300000</c:v>
                </c:pt>
                <c:pt idx="258">
                  <c:v>3121080</c:v>
                </c:pt>
                <c:pt idx="259">
                  <c:v>2689920</c:v>
                </c:pt>
                <c:pt idx="260">
                  <c:v>2582160</c:v>
                </c:pt>
                <c:pt idx="261">
                  <c:v>2498760</c:v>
                </c:pt>
                <c:pt idx="262">
                  <c:v>2137440</c:v>
                </c:pt>
                <c:pt idx="263">
                  <c:v>1752950</c:v>
                </c:pt>
                <c:pt idx="264">
                  <c:v>1737145</c:v>
                </c:pt>
                <c:pt idx="265">
                  <c:v>1701593</c:v>
                </c:pt>
                <c:pt idx="266">
                  <c:v>1663861</c:v>
                </c:pt>
                <c:pt idx="267">
                  <c:v>1663861</c:v>
                </c:pt>
                <c:pt idx="268">
                  <c:v>1620564</c:v>
                </c:pt>
                <c:pt idx="269">
                  <c:v>1620564</c:v>
                </c:pt>
                <c:pt idx="270">
                  <c:v>1620564</c:v>
                </c:pt>
                <c:pt idx="271">
                  <c:v>1517981</c:v>
                </c:pt>
                <c:pt idx="272">
                  <c:v>1517981</c:v>
                </c:pt>
                <c:pt idx="273">
                  <c:v>1517981</c:v>
                </c:pt>
                <c:pt idx="274">
                  <c:v>1517981</c:v>
                </c:pt>
                <c:pt idx="275">
                  <c:v>1517981</c:v>
                </c:pt>
                <c:pt idx="276">
                  <c:v>1445697</c:v>
                </c:pt>
                <c:pt idx="277">
                  <c:v>1445697</c:v>
                </c:pt>
                <c:pt idx="278">
                  <c:v>1000000</c:v>
                </c:pt>
                <c:pt idx="279">
                  <c:v>898310</c:v>
                </c:pt>
                <c:pt idx="280">
                  <c:v>898310</c:v>
                </c:pt>
                <c:pt idx="281">
                  <c:v>898310</c:v>
                </c:pt>
                <c:pt idx="282">
                  <c:v>757453</c:v>
                </c:pt>
                <c:pt idx="283">
                  <c:v>654469</c:v>
                </c:pt>
                <c:pt idx="284">
                  <c:v>652366</c:v>
                </c:pt>
                <c:pt idx="285">
                  <c:v>609128</c:v>
                </c:pt>
                <c:pt idx="286">
                  <c:v>449155</c:v>
                </c:pt>
                <c:pt idx="287">
                  <c:v>449155</c:v>
                </c:pt>
                <c:pt idx="288">
                  <c:v>449155</c:v>
                </c:pt>
                <c:pt idx="289">
                  <c:v>399591</c:v>
                </c:pt>
                <c:pt idx="290">
                  <c:v>321893</c:v>
                </c:pt>
                <c:pt idx="291">
                  <c:v>263501</c:v>
                </c:pt>
                <c:pt idx="292">
                  <c:v>160173</c:v>
                </c:pt>
                <c:pt idx="293">
                  <c:v>116903</c:v>
                </c:pt>
                <c:pt idx="294">
                  <c:v>43006362</c:v>
                </c:pt>
                <c:pt idx="295">
                  <c:v>41358814</c:v>
                </c:pt>
                <c:pt idx="296">
                  <c:v>41254920</c:v>
                </c:pt>
                <c:pt idx="297">
                  <c:v>39219565</c:v>
                </c:pt>
                <c:pt idx="298">
                  <c:v>34502130</c:v>
                </c:pt>
                <c:pt idx="299">
                  <c:v>31626953</c:v>
                </c:pt>
                <c:pt idx="300">
                  <c:v>29467800</c:v>
                </c:pt>
                <c:pt idx="301">
                  <c:v>29354152</c:v>
                </c:pt>
                <c:pt idx="302">
                  <c:v>28649250</c:v>
                </c:pt>
                <c:pt idx="303">
                  <c:v>27285000</c:v>
                </c:pt>
                <c:pt idx="304">
                  <c:v>24701834</c:v>
                </c:pt>
                <c:pt idx="305">
                  <c:v>18975000</c:v>
                </c:pt>
                <c:pt idx="306">
                  <c:v>17000000</c:v>
                </c:pt>
                <c:pt idx="307">
                  <c:v>16875000</c:v>
                </c:pt>
                <c:pt idx="308">
                  <c:v>16869276</c:v>
                </c:pt>
                <c:pt idx="309">
                  <c:v>16000000</c:v>
                </c:pt>
                <c:pt idx="310">
                  <c:v>14286000</c:v>
                </c:pt>
                <c:pt idx="311">
                  <c:v>13535714</c:v>
                </c:pt>
                <c:pt idx="312">
                  <c:v>13425895</c:v>
                </c:pt>
                <c:pt idx="313">
                  <c:v>13333333</c:v>
                </c:pt>
                <c:pt idx="314">
                  <c:v>12073020</c:v>
                </c:pt>
                <c:pt idx="315">
                  <c:v>11500000</c:v>
                </c:pt>
                <c:pt idx="316">
                  <c:v>11003782</c:v>
                </c:pt>
                <c:pt idx="317">
                  <c:v>10865952</c:v>
                </c:pt>
                <c:pt idx="318">
                  <c:v>9757440</c:v>
                </c:pt>
                <c:pt idx="319">
                  <c:v>9571712</c:v>
                </c:pt>
                <c:pt idx="320">
                  <c:v>9166800</c:v>
                </c:pt>
                <c:pt idx="321">
                  <c:v>8817143</c:v>
                </c:pt>
                <c:pt idx="322">
                  <c:v>8099627</c:v>
                </c:pt>
                <c:pt idx="323">
                  <c:v>8049360</c:v>
                </c:pt>
                <c:pt idx="324">
                  <c:v>6104280</c:v>
                </c:pt>
                <c:pt idx="325">
                  <c:v>5273826</c:v>
                </c:pt>
                <c:pt idx="326">
                  <c:v>5195501</c:v>
                </c:pt>
                <c:pt idx="327">
                  <c:v>4141320</c:v>
                </c:pt>
                <c:pt idx="328">
                  <c:v>3925000</c:v>
                </c:pt>
                <c:pt idx="329">
                  <c:v>3831840</c:v>
                </c:pt>
                <c:pt idx="330">
                  <c:v>3640200</c:v>
                </c:pt>
                <c:pt idx="331">
                  <c:v>3623000</c:v>
                </c:pt>
                <c:pt idx="332">
                  <c:v>3516284</c:v>
                </c:pt>
                <c:pt idx="333">
                  <c:v>3113160</c:v>
                </c:pt>
                <c:pt idx="334">
                  <c:v>3100000</c:v>
                </c:pt>
                <c:pt idx="335">
                  <c:v>3000000</c:v>
                </c:pt>
                <c:pt idx="336">
                  <c:v>2892000</c:v>
                </c:pt>
                <c:pt idx="337">
                  <c:v>2816760</c:v>
                </c:pt>
                <c:pt idx="338">
                  <c:v>2750000</c:v>
                </c:pt>
                <c:pt idx="339">
                  <c:v>2651040</c:v>
                </c:pt>
                <c:pt idx="340">
                  <c:v>2545320</c:v>
                </c:pt>
                <c:pt idx="341">
                  <c:v>2303040</c:v>
                </c:pt>
                <c:pt idx="342">
                  <c:v>2252040</c:v>
                </c:pt>
                <c:pt idx="343">
                  <c:v>2100000</c:v>
                </c:pt>
                <c:pt idx="344">
                  <c:v>2063280</c:v>
                </c:pt>
                <c:pt idx="345">
                  <c:v>2000000</c:v>
                </c:pt>
                <c:pt idx="346">
                  <c:v>1977011</c:v>
                </c:pt>
                <c:pt idx="347">
                  <c:v>1936440</c:v>
                </c:pt>
                <c:pt idx="348">
                  <c:v>1762796</c:v>
                </c:pt>
                <c:pt idx="349">
                  <c:v>1762796</c:v>
                </c:pt>
                <c:pt idx="350">
                  <c:v>1717981</c:v>
                </c:pt>
                <c:pt idx="351">
                  <c:v>1663861</c:v>
                </c:pt>
                <c:pt idx="352">
                  <c:v>1620564</c:v>
                </c:pt>
                <c:pt idx="353">
                  <c:v>1620564</c:v>
                </c:pt>
                <c:pt idx="354">
                  <c:v>1620564</c:v>
                </c:pt>
                <c:pt idx="355">
                  <c:v>1620564</c:v>
                </c:pt>
                <c:pt idx="356">
                  <c:v>1620564</c:v>
                </c:pt>
                <c:pt idx="357">
                  <c:v>1588231</c:v>
                </c:pt>
                <c:pt idx="358">
                  <c:v>1517981</c:v>
                </c:pt>
                <c:pt idx="359">
                  <c:v>1517981</c:v>
                </c:pt>
                <c:pt idx="360">
                  <c:v>1517981</c:v>
                </c:pt>
                <c:pt idx="361">
                  <c:v>1517981</c:v>
                </c:pt>
                <c:pt idx="362">
                  <c:v>1517981</c:v>
                </c:pt>
                <c:pt idx="363">
                  <c:v>1517981</c:v>
                </c:pt>
                <c:pt idx="364">
                  <c:v>1289846</c:v>
                </c:pt>
                <c:pt idx="365">
                  <c:v>1000000</c:v>
                </c:pt>
                <c:pt idx="366">
                  <c:v>898310</c:v>
                </c:pt>
                <c:pt idx="367">
                  <c:v>449155</c:v>
                </c:pt>
                <c:pt idx="368">
                  <c:v>449155</c:v>
                </c:pt>
                <c:pt idx="369">
                  <c:v>449155</c:v>
                </c:pt>
                <c:pt idx="370">
                  <c:v>449155</c:v>
                </c:pt>
                <c:pt idx="371">
                  <c:v>449155</c:v>
                </c:pt>
                <c:pt idx="372">
                  <c:v>449155</c:v>
                </c:pt>
                <c:pt idx="373">
                  <c:v>449155</c:v>
                </c:pt>
                <c:pt idx="374">
                  <c:v>449155</c:v>
                </c:pt>
                <c:pt idx="375">
                  <c:v>449155</c:v>
                </c:pt>
                <c:pt idx="376">
                  <c:v>449155</c:v>
                </c:pt>
                <c:pt idx="377">
                  <c:v>449155</c:v>
                </c:pt>
                <c:pt idx="378">
                  <c:v>358295</c:v>
                </c:pt>
                <c:pt idx="379">
                  <c:v>255294</c:v>
                </c:pt>
                <c:pt idx="380">
                  <c:v>250000</c:v>
                </c:pt>
                <c:pt idx="381">
                  <c:v>19804</c:v>
                </c:pt>
                <c:pt idx="382">
                  <c:v>11898</c:v>
                </c:pt>
                <c:pt idx="383">
                  <c:v>41254920</c:v>
                </c:pt>
                <c:pt idx="384">
                  <c:v>21000000</c:v>
                </c:pt>
                <c:pt idx="385">
                  <c:v>19610714</c:v>
                </c:pt>
                <c:pt idx="386">
                  <c:v>16203704</c:v>
                </c:pt>
                <c:pt idx="387">
                  <c:v>13013700</c:v>
                </c:pt>
                <c:pt idx="388">
                  <c:v>12600000</c:v>
                </c:pt>
                <c:pt idx="389">
                  <c:v>10865952</c:v>
                </c:pt>
                <c:pt idx="390">
                  <c:v>9590602</c:v>
                </c:pt>
                <c:pt idx="391">
                  <c:v>9000000</c:v>
                </c:pt>
                <c:pt idx="392">
                  <c:v>8000000</c:v>
                </c:pt>
                <c:pt idx="393">
                  <c:v>7682927</c:v>
                </c:pt>
                <c:pt idx="394">
                  <c:v>7500000</c:v>
                </c:pt>
                <c:pt idx="395">
                  <c:v>6666667</c:v>
                </c:pt>
                <c:pt idx="396">
                  <c:v>5686677</c:v>
                </c:pt>
                <c:pt idx="397">
                  <c:v>5635000</c:v>
                </c:pt>
                <c:pt idx="398">
                  <c:v>2283034</c:v>
                </c:pt>
                <c:pt idx="399">
                  <c:v>2250000</c:v>
                </c:pt>
                <c:pt idx="400">
                  <c:v>2193040</c:v>
                </c:pt>
                <c:pt idx="401">
                  <c:v>1663861</c:v>
                </c:pt>
                <c:pt idx="402">
                  <c:v>1620564</c:v>
                </c:pt>
                <c:pt idx="403">
                  <c:v>1620564</c:v>
                </c:pt>
                <c:pt idx="404">
                  <c:v>1517981</c:v>
                </c:pt>
                <c:pt idx="405">
                  <c:v>1517981</c:v>
                </c:pt>
                <c:pt idx="406">
                  <c:v>1445697</c:v>
                </c:pt>
                <c:pt idx="407">
                  <c:v>510589</c:v>
                </c:pt>
                <c:pt idx="408">
                  <c:v>449155</c:v>
                </c:pt>
                <c:pt idx="409">
                  <c:v>449155</c:v>
                </c:pt>
                <c:pt idx="410">
                  <c:v>214169</c:v>
                </c:pt>
                <c:pt idx="411">
                  <c:v>188696</c:v>
                </c:pt>
                <c:pt idx="412">
                  <c:v>41358814</c:v>
                </c:pt>
                <c:pt idx="413">
                  <c:v>34379100</c:v>
                </c:pt>
                <c:pt idx="414">
                  <c:v>31742000</c:v>
                </c:pt>
                <c:pt idx="415">
                  <c:v>30559200</c:v>
                </c:pt>
                <c:pt idx="416">
                  <c:v>30500000</c:v>
                </c:pt>
                <c:pt idx="417">
                  <c:v>28751775</c:v>
                </c:pt>
                <c:pt idx="418">
                  <c:v>26231111</c:v>
                </c:pt>
                <c:pt idx="419">
                  <c:v>23735118</c:v>
                </c:pt>
                <c:pt idx="420">
                  <c:v>21250000</c:v>
                </c:pt>
                <c:pt idx="421">
                  <c:v>20700000</c:v>
                </c:pt>
                <c:pt idx="422">
                  <c:v>19500000</c:v>
                </c:pt>
                <c:pt idx="423">
                  <c:v>18900000</c:v>
                </c:pt>
                <c:pt idx="424">
                  <c:v>18000000</c:v>
                </c:pt>
                <c:pt idx="425">
                  <c:v>18000000</c:v>
                </c:pt>
                <c:pt idx="426">
                  <c:v>13500000</c:v>
                </c:pt>
                <c:pt idx="427">
                  <c:v>13446428</c:v>
                </c:pt>
                <c:pt idx="428">
                  <c:v>12288697</c:v>
                </c:pt>
                <c:pt idx="429">
                  <c:v>12178571</c:v>
                </c:pt>
                <c:pt idx="430">
                  <c:v>11454048</c:v>
                </c:pt>
                <c:pt idx="431">
                  <c:v>10500000</c:v>
                </c:pt>
                <c:pt idx="432">
                  <c:v>10000000</c:v>
                </c:pt>
                <c:pt idx="433">
                  <c:v>9600000</c:v>
                </c:pt>
                <c:pt idx="434">
                  <c:v>8231760</c:v>
                </c:pt>
                <c:pt idx="435">
                  <c:v>7839960</c:v>
                </c:pt>
                <c:pt idx="436">
                  <c:v>7834449</c:v>
                </c:pt>
                <c:pt idx="437">
                  <c:v>6720720</c:v>
                </c:pt>
                <c:pt idx="438">
                  <c:v>6571800</c:v>
                </c:pt>
                <c:pt idx="439">
                  <c:v>6400920</c:v>
                </c:pt>
                <c:pt idx="440">
                  <c:v>6176578</c:v>
                </c:pt>
                <c:pt idx="441">
                  <c:v>6000000</c:v>
                </c:pt>
                <c:pt idx="442">
                  <c:v>6000000</c:v>
                </c:pt>
                <c:pt idx="443">
                  <c:v>5720000</c:v>
                </c:pt>
                <c:pt idx="444">
                  <c:v>5572680</c:v>
                </c:pt>
                <c:pt idx="445">
                  <c:v>5345687</c:v>
                </c:pt>
                <c:pt idx="446">
                  <c:v>5307120</c:v>
                </c:pt>
                <c:pt idx="447">
                  <c:v>5192307</c:v>
                </c:pt>
                <c:pt idx="448">
                  <c:v>4991880</c:v>
                </c:pt>
                <c:pt idx="449">
                  <c:v>4938272</c:v>
                </c:pt>
                <c:pt idx="450">
                  <c:v>4767000</c:v>
                </c:pt>
                <c:pt idx="451">
                  <c:v>4767000</c:v>
                </c:pt>
                <c:pt idx="452">
                  <c:v>4767000</c:v>
                </c:pt>
                <c:pt idx="453">
                  <c:v>4767000</c:v>
                </c:pt>
                <c:pt idx="454">
                  <c:v>4642800</c:v>
                </c:pt>
                <c:pt idx="455">
                  <c:v>3944013</c:v>
                </c:pt>
                <c:pt idx="456">
                  <c:v>3737520</c:v>
                </c:pt>
                <c:pt idx="457">
                  <c:v>3631200</c:v>
                </c:pt>
                <c:pt idx="458">
                  <c:v>3500000</c:v>
                </c:pt>
                <c:pt idx="459">
                  <c:v>3300000</c:v>
                </c:pt>
                <c:pt idx="460">
                  <c:v>3285120</c:v>
                </c:pt>
                <c:pt idx="461">
                  <c:v>3044160</c:v>
                </c:pt>
                <c:pt idx="462">
                  <c:v>3000000</c:v>
                </c:pt>
                <c:pt idx="463">
                  <c:v>2761920</c:v>
                </c:pt>
                <c:pt idx="464">
                  <c:v>2711280</c:v>
                </c:pt>
                <c:pt idx="465">
                  <c:v>2582160</c:v>
                </c:pt>
                <c:pt idx="466">
                  <c:v>2478840</c:v>
                </c:pt>
                <c:pt idx="467">
                  <c:v>2345640</c:v>
                </c:pt>
                <c:pt idx="468">
                  <c:v>2337145</c:v>
                </c:pt>
                <c:pt idx="469">
                  <c:v>2193480</c:v>
                </c:pt>
                <c:pt idx="470">
                  <c:v>2160000</c:v>
                </c:pt>
                <c:pt idx="471">
                  <c:v>2105520</c:v>
                </c:pt>
                <c:pt idx="472">
                  <c:v>2090040</c:v>
                </c:pt>
                <c:pt idx="473">
                  <c:v>2000000</c:v>
                </c:pt>
                <c:pt idx="474">
                  <c:v>1950600</c:v>
                </c:pt>
                <c:pt idx="475">
                  <c:v>1762796</c:v>
                </c:pt>
                <c:pt idx="476">
                  <c:v>1701593</c:v>
                </c:pt>
                <c:pt idx="477">
                  <c:v>1701593</c:v>
                </c:pt>
                <c:pt idx="478">
                  <c:v>1663861</c:v>
                </c:pt>
                <c:pt idx="479">
                  <c:v>1663861</c:v>
                </c:pt>
                <c:pt idx="480">
                  <c:v>1620564</c:v>
                </c:pt>
                <c:pt idx="481">
                  <c:v>1620564</c:v>
                </c:pt>
                <c:pt idx="482">
                  <c:v>1620564</c:v>
                </c:pt>
                <c:pt idx="483">
                  <c:v>1620564</c:v>
                </c:pt>
                <c:pt idx="484">
                  <c:v>1620564</c:v>
                </c:pt>
                <c:pt idx="485">
                  <c:v>1517981</c:v>
                </c:pt>
                <c:pt idx="486">
                  <c:v>1517981</c:v>
                </c:pt>
                <c:pt idx="487">
                  <c:v>1517981</c:v>
                </c:pt>
                <c:pt idx="488">
                  <c:v>1445697</c:v>
                </c:pt>
                <c:pt idx="489">
                  <c:v>1416852</c:v>
                </c:pt>
                <c:pt idx="490">
                  <c:v>1340333</c:v>
                </c:pt>
                <c:pt idx="491">
                  <c:v>898310</c:v>
                </c:pt>
                <c:pt idx="492">
                  <c:v>898310</c:v>
                </c:pt>
                <c:pt idx="493">
                  <c:v>898310</c:v>
                </c:pt>
                <c:pt idx="494">
                  <c:v>449155</c:v>
                </c:pt>
                <c:pt idx="495">
                  <c:v>449155</c:v>
                </c:pt>
                <c:pt idx="496">
                  <c:v>449155</c:v>
                </c:pt>
                <c:pt idx="497">
                  <c:v>449155</c:v>
                </c:pt>
                <c:pt idx="498">
                  <c:v>449155</c:v>
                </c:pt>
                <c:pt idx="499">
                  <c:v>449155</c:v>
                </c:pt>
                <c:pt idx="500">
                  <c:v>449155</c:v>
                </c:pt>
                <c:pt idx="501">
                  <c:v>449155</c:v>
                </c:pt>
                <c:pt idx="502">
                  <c:v>449155</c:v>
                </c:pt>
                <c:pt idx="503">
                  <c:v>449155</c:v>
                </c:pt>
                <c:pt idx="504">
                  <c:v>449155</c:v>
                </c:pt>
                <c:pt idx="505">
                  <c:v>449155</c:v>
                </c:pt>
                <c:pt idx="506">
                  <c:v>449155</c:v>
                </c:pt>
                <c:pt idx="507">
                  <c:v>449155</c:v>
                </c:pt>
                <c:pt idx="508">
                  <c:v>449155</c:v>
                </c:pt>
                <c:pt idx="509">
                  <c:v>449155</c:v>
                </c:pt>
                <c:pt idx="510">
                  <c:v>163861</c:v>
                </c:pt>
                <c:pt idx="511">
                  <c:v>39608</c:v>
                </c:pt>
                <c:pt idx="512">
                  <c:v>24611</c:v>
                </c:pt>
              </c:numCache>
            </c:numRef>
          </c:xVal>
          <c:yVal>
            <c:numRef>
              <c:f>Data!$L$2:$L$514</c:f>
              <c:numCache>
                <c:formatCode>General</c:formatCode>
                <c:ptCount val="513"/>
                <c:pt idx="0">
                  <c:v>1.4230769230769231</c:v>
                </c:pt>
                <c:pt idx="1">
                  <c:v>2.6981981981981984</c:v>
                </c:pt>
                <c:pt idx="2">
                  <c:v>1.3333333333333333</c:v>
                </c:pt>
                <c:pt idx="3">
                  <c:v>1.40625</c:v>
                </c:pt>
                <c:pt idx="4">
                  <c:v>0.75423728813559321</c:v>
                </c:pt>
                <c:pt idx="5">
                  <c:v>3.2413793103448274</c:v>
                </c:pt>
                <c:pt idx="6">
                  <c:v>1.1200000000000001</c:v>
                </c:pt>
                <c:pt idx="7">
                  <c:v>0.88749999999999996</c:v>
                </c:pt>
                <c:pt idx="8">
                  <c:v>1.7123287671232876</c:v>
                </c:pt>
                <c:pt idx="9">
                  <c:v>1.575</c:v>
                </c:pt>
                <c:pt idx="10">
                  <c:v>0.96116504854368934</c:v>
                </c:pt>
                <c:pt idx="11">
                  <c:v>1.2222222222222223</c:v>
                </c:pt>
                <c:pt idx="12">
                  <c:v>1.6818181818181819</c:v>
                </c:pt>
                <c:pt idx="13">
                  <c:v>0.98648648648648651</c:v>
                </c:pt>
                <c:pt idx="14">
                  <c:v>1.1403508771929824</c:v>
                </c:pt>
                <c:pt idx="15">
                  <c:v>0.43333333333333335</c:v>
                </c:pt>
                <c:pt idx="16">
                  <c:v>1.6144578313253013</c:v>
                </c:pt>
                <c:pt idx="17">
                  <c:v>0.8</c:v>
                </c:pt>
                <c:pt idx="18">
                  <c:v>1.1111111111111112</c:v>
                </c:pt>
                <c:pt idx="19">
                  <c:v>0.89743589743589747</c:v>
                </c:pt>
                <c:pt idx="20">
                  <c:v>3</c:v>
                </c:pt>
                <c:pt idx="21">
                  <c:v>1.3466666666666667</c:v>
                </c:pt>
                <c:pt idx="22">
                  <c:v>1.0769230769230769</c:v>
                </c:pt>
                <c:pt idx="23">
                  <c:v>3.2162162162162162</c:v>
                </c:pt>
                <c:pt idx="24">
                  <c:v>1.2068965517241379</c:v>
                </c:pt>
                <c:pt idx="25">
                  <c:v>0.83333333333333337</c:v>
                </c:pt>
                <c:pt idx="26">
                  <c:v>2.0566037735849059</c:v>
                </c:pt>
                <c:pt idx="27">
                  <c:v>1.3333333333333333</c:v>
                </c:pt>
                <c:pt idx="28">
                  <c:v>0</c:v>
                </c:pt>
                <c:pt idx="29">
                  <c:v>1.45</c:v>
                </c:pt>
                <c:pt idx="30">
                  <c:v>3.5909090909090908</c:v>
                </c:pt>
                <c:pt idx="31">
                  <c:v>1.4705882352941178</c:v>
                </c:pt>
                <c:pt idx="32">
                  <c:v>0.5</c:v>
                </c:pt>
                <c:pt idx="33">
                  <c:v>0.93333333333333335</c:v>
                </c:pt>
                <c:pt idx="34">
                  <c:v>1.0434782608695652</c:v>
                </c:pt>
                <c:pt idx="35">
                  <c:v>1.1111111111111112</c:v>
                </c:pt>
                <c:pt idx="36">
                  <c:v>0.96551724137931039</c:v>
                </c:pt>
                <c:pt idx="37">
                  <c:v>4</c:v>
                </c:pt>
                <c:pt idx="38">
                  <c:v>0.23255813953488372</c:v>
                </c:pt>
                <c:pt idx="39">
                  <c:v>2.1349206349206349</c:v>
                </c:pt>
                <c:pt idx="40">
                  <c:v>1.8148148148148149</c:v>
                </c:pt>
                <c:pt idx="41">
                  <c:v>1.3333333333333333</c:v>
                </c:pt>
                <c:pt idx="42">
                  <c:v>1.6363636363636365</c:v>
                </c:pt>
                <c:pt idx="43">
                  <c:v>0.65</c:v>
                </c:pt>
                <c:pt idx="44">
                  <c:v>1.06</c:v>
                </c:pt>
                <c:pt idx="45">
                  <c:v>1.1212121212121211</c:v>
                </c:pt>
                <c:pt idx="46">
                  <c:v>2.0227272727272729</c:v>
                </c:pt>
                <c:pt idx="47">
                  <c:v>3.4285714285714284</c:v>
                </c:pt>
                <c:pt idx="48">
                  <c:v>1.25</c:v>
                </c:pt>
                <c:pt idx="49">
                  <c:v>0.70731707317073167</c:v>
                </c:pt>
                <c:pt idx="50">
                  <c:v>0.89090909090909087</c:v>
                </c:pt>
                <c:pt idx="51">
                  <c:v>1.5</c:v>
                </c:pt>
                <c:pt idx="52">
                  <c:v>0.75806451612903225</c:v>
                </c:pt>
                <c:pt idx="53">
                  <c:v>0.66666666666666663</c:v>
                </c:pt>
                <c:pt idx="54">
                  <c:v>1.75</c:v>
                </c:pt>
                <c:pt idx="55">
                  <c:v>1.1153846153846154</c:v>
                </c:pt>
                <c:pt idx="56">
                  <c:v>1.1875</c:v>
                </c:pt>
                <c:pt idx="57">
                  <c:v>1.1627906976744187</c:v>
                </c:pt>
                <c:pt idx="58">
                  <c:v>0.91194968553459121</c:v>
                </c:pt>
                <c:pt idx="59">
                  <c:v>0.71641791044776115</c:v>
                </c:pt>
                <c:pt idx="60">
                  <c:v>0.67123287671232879</c:v>
                </c:pt>
                <c:pt idx="61">
                  <c:v>1.6862745098039216</c:v>
                </c:pt>
                <c:pt idx="62">
                  <c:v>0.78125</c:v>
                </c:pt>
                <c:pt idx="63">
                  <c:v>1.0941176470588236</c:v>
                </c:pt>
                <c:pt idx="64">
                  <c:v>1</c:v>
                </c:pt>
                <c:pt idx="65">
                  <c:v>1.0806451612903225</c:v>
                </c:pt>
                <c:pt idx="66">
                  <c:v>1.3636363636363635</c:v>
                </c:pt>
                <c:pt idx="67">
                  <c:v>1.9238095238095239</c:v>
                </c:pt>
                <c:pt idx="68">
                  <c:v>2.25</c:v>
                </c:pt>
                <c:pt idx="69">
                  <c:v>0.73333333333333328</c:v>
                </c:pt>
                <c:pt idx="70">
                  <c:v>1.0217391304347827</c:v>
                </c:pt>
                <c:pt idx="71">
                  <c:v>1.3695652173913044</c:v>
                </c:pt>
                <c:pt idx="72">
                  <c:v>0.97222222222222221</c:v>
                </c:pt>
                <c:pt idx="73">
                  <c:v>0.62068965517241381</c:v>
                </c:pt>
                <c:pt idx="74">
                  <c:v>2.0473372781065087</c:v>
                </c:pt>
                <c:pt idx="75">
                  <c:v>0.70769230769230773</c:v>
                </c:pt>
                <c:pt idx="76">
                  <c:v>1.2678571428571428</c:v>
                </c:pt>
                <c:pt idx="77">
                  <c:v>1.1408450704225352</c:v>
                </c:pt>
                <c:pt idx="78">
                  <c:v>0.88059701492537312</c:v>
                </c:pt>
                <c:pt idx="79">
                  <c:v>2.1764705882352939</c:v>
                </c:pt>
                <c:pt idx="80">
                  <c:v>1.8076923076923077</c:v>
                </c:pt>
                <c:pt idx="81">
                  <c:v>0.61904761904761907</c:v>
                </c:pt>
                <c:pt idx="82">
                  <c:v>0.65384615384615385</c:v>
                </c:pt>
                <c:pt idx="83">
                  <c:v>0</c:v>
                </c:pt>
                <c:pt idx="84">
                  <c:v>1.3333333333333333</c:v>
                </c:pt>
                <c:pt idx="85">
                  <c:v>0.5446428571428571</c:v>
                </c:pt>
                <c:pt idx="86">
                  <c:v>0.2</c:v>
                </c:pt>
                <c:pt idx="87">
                  <c:v>1.5555555555555556</c:v>
                </c:pt>
                <c:pt idx="88">
                  <c:v>0.47619047619047616</c:v>
                </c:pt>
                <c:pt idx="89">
                  <c:v>1.6363636363636365</c:v>
                </c:pt>
                <c:pt idx="90">
                  <c:v>0.4</c:v>
                </c:pt>
                <c:pt idx="91">
                  <c:v>0.5</c:v>
                </c:pt>
                <c:pt idx="92">
                  <c:v>0.25</c:v>
                </c:pt>
                <c:pt idx="93">
                  <c:v>0.5</c:v>
                </c:pt>
                <c:pt idx="94">
                  <c:v>0.92307692307692313</c:v>
                </c:pt>
                <c:pt idx="95">
                  <c:v>1.5642458100558658</c:v>
                </c:pt>
                <c:pt idx="96">
                  <c:v>2.5619047619047617</c:v>
                </c:pt>
                <c:pt idx="97">
                  <c:v>1.4864864864864864</c:v>
                </c:pt>
                <c:pt idx="98">
                  <c:v>1.3253968253968254</c:v>
                </c:pt>
                <c:pt idx="99">
                  <c:v>3.5462184873949578</c:v>
                </c:pt>
                <c:pt idx="100">
                  <c:v>1.9220779220779221</c:v>
                </c:pt>
                <c:pt idx="101">
                  <c:v>2.9680851063829787</c:v>
                </c:pt>
                <c:pt idx="102">
                  <c:v>2.161290322580645</c:v>
                </c:pt>
                <c:pt idx="103">
                  <c:v>1.0625</c:v>
                </c:pt>
                <c:pt idx="104">
                  <c:v>1.0175438596491229</c:v>
                </c:pt>
                <c:pt idx="105">
                  <c:v>1.3538461538461539</c:v>
                </c:pt>
                <c:pt idx="106">
                  <c:v>1.0428571428571429</c:v>
                </c:pt>
                <c:pt idx="107">
                  <c:v>1.8854166666666667</c:v>
                </c:pt>
                <c:pt idx="108">
                  <c:v>1.3513513513513513</c:v>
                </c:pt>
                <c:pt idx="109">
                  <c:v>1.828125</c:v>
                </c:pt>
                <c:pt idx="110">
                  <c:v>1.319327731092437</c:v>
                </c:pt>
                <c:pt idx="111">
                  <c:v>2.7179487179487181</c:v>
                </c:pt>
                <c:pt idx="112">
                  <c:v>1.3532934131736527</c:v>
                </c:pt>
                <c:pt idx="113">
                  <c:v>2.9069767441860463</c:v>
                </c:pt>
                <c:pt idx="114">
                  <c:v>1.46875</c:v>
                </c:pt>
                <c:pt idx="115">
                  <c:v>2.3090909090909091</c:v>
                </c:pt>
                <c:pt idx="116">
                  <c:v>0.72881355932203384</c:v>
                </c:pt>
                <c:pt idx="117">
                  <c:v>2.1807228915662651</c:v>
                </c:pt>
                <c:pt idx="118">
                  <c:v>2.2666666666666666</c:v>
                </c:pt>
                <c:pt idx="119">
                  <c:v>1</c:v>
                </c:pt>
                <c:pt idx="120">
                  <c:v>2.625</c:v>
                </c:pt>
                <c:pt idx="121">
                  <c:v>1.2962962962962963</c:v>
                </c:pt>
                <c:pt idx="122">
                  <c:v>2.3333333333333335</c:v>
                </c:pt>
                <c:pt idx="123">
                  <c:v>0.5</c:v>
                </c:pt>
                <c:pt idx="124">
                  <c:v>0.5714285714285714</c:v>
                </c:pt>
                <c:pt idx="125">
                  <c:v>2.6666666666666665</c:v>
                </c:pt>
                <c:pt idx="126">
                  <c:v>2.5454545454545454</c:v>
                </c:pt>
                <c:pt idx="127">
                  <c:v>2.15</c:v>
                </c:pt>
                <c:pt idx="128">
                  <c:v>2.125</c:v>
                </c:pt>
                <c:pt idx="129">
                  <c:v>4</c:v>
                </c:pt>
                <c:pt idx="130">
                  <c:v>1.0769230769230769</c:v>
                </c:pt>
                <c:pt idx="131">
                  <c:v>1.9166666666666667</c:v>
                </c:pt>
                <c:pt idx="132">
                  <c:v>1.1238938053097345</c:v>
                </c:pt>
                <c:pt idx="133">
                  <c:v>0.90909090909090906</c:v>
                </c:pt>
                <c:pt idx="134">
                  <c:v>2.2244897959183674</c:v>
                </c:pt>
                <c:pt idx="135">
                  <c:v>2.6363636363636362</c:v>
                </c:pt>
                <c:pt idx="136">
                  <c:v>0.97979797979797978</c:v>
                </c:pt>
                <c:pt idx="137">
                  <c:v>0.75</c:v>
                </c:pt>
                <c:pt idx="138">
                  <c:v>2.8787878787878789</c:v>
                </c:pt>
                <c:pt idx="139">
                  <c:v>0.81147540983606559</c:v>
                </c:pt>
                <c:pt idx="140">
                  <c:v>1.4285714285714286</c:v>
                </c:pt>
                <c:pt idx="141">
                  <c:v>1.2777777777777777</c:v>
                </c:pt>
                <c:pt idx="142">
                  <c:v>0.53846153846153844</c:v>
                </c:pt>
                <c:pt idx="143">
                  <c:v>1.5512820512820513</c:v>
                </c:pt>
                <c:pt idx="144">
                  <c:v>2</c:v>
                </c:pt>
                <c:pt idx="145">
                  <c:v>1.5106382978723405</c:v>
                </c:pt>
                <c:pt idx="146">
                  <c:v>0.14285714285714285</c:v>
                </c:pt>
                <c:pt idx="147">
                  <c:v>1</c:v>
                </c:pt>
                <c:pt idx="148">
                  <c:v>1.8235294117647058</c:v>
                </c:pt>
                <c:pt idx="149">
                  <c:v>1.1568627450980393</c:v>
                </c:pt>
                <c:pt idx="150">
                  <c:v>1.2</c:v>
                </c:pt>
                <c:pt idx="151">
                  <c:v>1</c:v>
                </c:pt>
                <c:pt idx="152">
                  <c:v>1.7142857142857142</c:v>
                </c:pt>
                <c:pt idx="153">
                  <c:v>1.4339622641509433</c:v>
                </c:pt>
                <c:pt idx="154">
                  <c:v>2.5</c:v>
                </c:pt>
                <c:pt idx="155">
                  <c:v>1.8181818181818181</c:v>
                </c:pt>
                <c:pt idx="156">
                  <c:v>0.73333333333333328</c:v>
                </c:pt>
                <c:pt idx="157">
                  <c:v>2.7924528301886791</c:v>
                </c:pt>
                <c:pt idx="158">
                  <c:v>1.3518518518518519</c:v>
                </c:pt>
                <c:pt idx="159">
                  <c:v>1.7049180327868851</c:v>
                </c:pt>
                <c:pt idx="160">
                  <c:v>1.3170731707317074</c:v>
                </c:pt>
                <c:pt idx="161">
                  <c:v>2.25</c:v>
                </c:pt>
                <c:pt idx="162">
                  <c:v>0.8</c:v>
                </c:pt>
                <c:pt idx="163">
                  <c:v>1</c:v>
                </c:pt>
                <c:pt idx="164">
                  <c:v>1.4666666666666666</c:v>
                </c:pt>
                <c:pt idx="165">
                  <c:v>1.1860465116279071</c:v>
                </c:pt>
                <c:pt idx="166">
                  <c:v>0.94690265486725667</c:v>
                </c:pt>
                <c:pt idx="167">
                  <c:v>2</c:v>
                </c:pt>
                <c:pt idx="168">
                  <c:v>1.8163265306122449</c:v>
                </c:pt>
                <c:pt idx="169">
                  <c:v>1.5</c:v>
                </c:pt>
                <c:pt idx="170">
                  <c:v>1.6666666666666667</c:v>
                </c:pt>
                <c:pt idx="171">
                  <c:v>1.9215686274509804</c:v>
                </c:pt>
                <c:pt idx="172">
                  <c:v>2</c:v>
                </c:pt>
                <c:pt idx="173">
                  <c:v>1</c:v>
                </c:pt>
                <c:pt idx="174">
                  <c:v>1.263157894736842</c:v>
                </c:pt>
                <c:pt idx="175">
                  <c:v>0.5</c:v>
                </c:pt>
                <c:pt idx="176">
                  <c:v>1</c:v>
                </c:pt>
                <c:pt idx="177">
                  <c:v>1</c:v>
                </c:pt>
                <c:pt idx="178">
                  <c:v>2.25</c:v>
                </c:pt>
                <c:pt idx="179">
                  <c:v>0.8</c:v>
                </c:pt>
                <c:pt idx="180">
                  <c:v>0.2</c:v>
                </c:pt>
                <c:pt idx="181">
                  <c:v>1.875</c:v>
                </c:pt>
                <c:pt idx="182">
                  <c:v>9.0909090909090912E-2</c:v>
                </c:pt>
                <c:pt idx="183">
                  <c:v>1.411764705882353</c:v>
                </c:pt>
                <c:pt idx="184">
                  <c:v>1.2105263157894737</c:v>
                </c:pt>
                <c:pt idx="185">
                  <c:v>1.1200000000000001</c:v>
                </c:pt>
                <c:pt idx="186">
                  <c:v>2.3157894736842106</c:v>
                </c:pt>
                <c:pt idx="187">
                  <c:v>2.2000000000000002</c:v>
                </c:pt>
                <c:pt idx="188">
                  <c:v>1.6597938144329898</c:v>
                </c:pt>
                <c:pt idx="189">
                  <c:v>1.9726027397260273</c:v>
                </c:pt>
                <c:pt idx="190">
                  <c:v>1.7818181818181817</c:v>
                </c:pt>
                <c:pt idx="191">
                  <c:v>1.6111111111111112</c:v>
                </c:pt>
                <c:pt idx="192">
                  <c:v>1.6170212765957446</c:v>
                </c:pt>
                <c:pt idx="193">
                  <c:v>1.4722222222222223</c:v>
                </c:pt>
                <c:pt idx="194">
                  <c:v>1.1071428571428572</c:v>
                </c:pt>
                <c:pt idx="195">
                  <c:v>1.5249999999999999</c:v>
                </c:pt>
                <c:pt idx="196">
                  <c:v>1.0454545454545454</c:v>
                </c:pt>
                <c:pt idx="197">
                  <c:v>3.6666666666666665</c:v>
                </c:pt>
                <c:pt idx="198">
                  <c:v>2</c:v>
                </c:pt>
                <c:pt idx="199">
                  <c:v>1.3809523809523809</c:v>
                </c:pt>
                <c:pt idx="200">
                  <c:v>0.85</c:v>
                </c:pt>
                <c:pt idx="201">
                  <c:v>1.8235294117647058</c:v>
                </c:pt>
                <c:pt idx="202">
                  <c:v>0.76923076923076927</c:v>
                </c:pt>
                <c:pt idx="203">
                  <c:v>0.94736842105263153</c:v>
                </c:pt>
                <c:pt idx="204">
                  <c:v>1.3289473684210527</c:v>
                </c:pt>
                <c:pt idx="205">
                  <c:v>1.25</c:v>
                </c:pt>
                <c:pt idx="206">
                  <c:v>1.96</c:v>
                </c:pt>
                <c:pt idx="207">
                  <c:v>0.6</c:v>
                </c:pt>
                <c:pt idx="208">
                  <c:v>0.89473684210526316</c:v>
                </c:pt>
                <c:pt idx="209">
                  <c:v>2.2580645161290325</c:v>
                </c:pt>
                <c:pt idx="210">
                  <c:v>1.625</c:v>
                </c:pt>
                <c:pt idx="211">
                  <c:v>2.0909090909090908</c:v>
                </c:pt>
                <c:pt idx="212">
                  <c:v>1.1000000000000001</c:v>
                </c:pt>
                <c:pt idx="213">
                  <c:v>0.80952380952380953</c:v>
                </c:pt>
                <c:pt idx="214">
                  <c:v>1.1333333333333333</c:v>
                </c:pt>
                <c:pt idx="215">
                  <c:v>1.4166666666666667</c:v>
                </c:pt>
                <c:pt idx="216">
                  <c:v>1.625</c:v>
                </c:pt>
                <c:pt idx="217">
                  <c:v>3.3853211009174311</c:v>
                </c:pt>
                <c:pt idx="218">
                  <c:v>2.05607476635514</c:v>
                </c:pt>
                <c:pt idx="219">
                  <c:v>2.0786516853932584</c:v>
                </c:pt>
                <c:pt idx="220">
                  <c:v>1.6578947368421053</c:v>
                </c:pt>
                <c:pt idx="221">
                  <c:v>1.9230769230769231</c:v>
                </c:pt>
                <c:pt idx="222">
                  <c:v>1.9890109890109891</c:v>
                </c:pt>
                <c:pt idx="223">
                  <c:v>1.7246376811594204</c:v>
                </c:pt>
                <c:pt idx="224">
                  <c:v>1.948356807511737</c:v>
                </c:pt>
                <c:pt idx="225">
                  <c:v>1.7674418604651163</c:v>
                </c:pt>
                <c:pt idx="226">
                  <c:v>1.3944954128440368</c:v>
                </c:pt>
                <c:pt idx="227">
                  <c:v>1.7717842323651452</c:v>
                </c:pt>
                <c:pt idx="228">
                  <c:v>2.096774193548387</c:v>
                </c:pt>
                <c:pt idx="229">
                  <c:v>1.7611940298507462</c:v>
                </c:pt>
                <c:pt idx="230">
                  <c:v>1.4848484848484849</c:v>
                </c:pt>
                <c:pt idx="231">
                  <c:v>2.1194029850746268</c:v>
                </c:pt>
                <c:pt idx="232">
                  <c:v>2.1240875912408761</c:v>
                </c:pt>
                <c:pt idx="233">
                  <c:v>2.6190476190476191</c:v>
                </c:pt>
                <c:pt idx="234">
                  <c:v>1.25</c:v>
                </c:pt>
                <c:pt idx="235">
                  <c:v>1.9454545454545455</c:v>
                </c:pt>
                <c:pt idx="236">
                  <c:v>1.6140350877192982</c:v>
                </c:pt>
                <c:pt idx="237">
                  <c:v>2.1749999999999998</c:v>
                </c:pt>
                <c:pt idx="238">
                  <c:v>1.5172413793103448</c:v>
                </c:pt>
                <c:pt idx="239">
                  <c:v>1.6037735849056605</c:v>
                </c:pt>
                <c:pt idx="240">
                  <c:v>1.010204081632653</c:v>
                </c:pt>
                <c:pt idx="241">
                  <c:v>0.86538461538461542</c:v>
                </c:pt>
                <c:pt idx="242">
                  <c:v>2.1052631578947367</c:v>
                </c:pt>
                <c:pt idx="243">
                  <c:v>1.2608695652173914</c:v>
                </c:pt>
                <c:pt idx="244">
                  <c:v>1.2058823529411764</c:v>
                </c:pt>
                <c:pt idx="245">
                  <c:v>1.1176470588235294</c:v>
                </c:pt>
                <c:pt idx="246">
                  <c:v>1.9090909090909092</c:v>
                </c:pt>
                <c:pt idx="247">
                  <c:v>1.0294117647058822</c:v>
                </c:pt>
                <c:pt idx="248">
                  <c:v>2.2000000000000002</c:v>
                </c:pt>
                <c:pt idx="249">
                  <c:v>0.9285714285714286</c:v>
                </c:pt>
                <c:pt idx="250">
                  <c:v>1.2578125</c:v>
                </c:pt>
                <c:pt idx="251">
                  <c:v>0</c:v>
                </c:pt>
                <c:pt idx="252">
                  <c:v>1.3867924528301887</c:v>
                </c:pt>
                <c:pt idx="253">
                  <c:v>1.2533333333333334</c:v>
                </c:pt>
                <c:pt idx="254">
                  <c:v>1.6481481481481481</c:v>
                </c:pt>
                <c:pt idx="255">
                  <c:v>1</c:v>
                </c:pt>
                <c:pt idx="256">
                  <c:v>1.0681818181818181</c:v>
                </c:pt>
                <c:pt idx="257">
                  <c:v>1.7222222222222223</c:v>
                </c:pt>
                <c:pt idx="258">
                  <c:v>2.6578947368421053</c:v>
                </c:pt>
                <c:pt idx="259">
                  <c:v>1.5833333333333333</c:v>
                </c:pt>
                <c:pt idx="260">
                  <c:v>0.67441860465116277</c:v>
                </c:pt>
                <c:pt idx="261">
                  <c:v>1.1428571428571428</c:v>
                </c:pt>
                <c:pt idx="262">
                  <c:v>1.03125</c:v>
                </c:pt>
                <c:pt idx="263">
                  <c:v>1.7619047619047619</c:v>
                </c:pt>
                <c:pt idx="264">
                  <c:v>1.5070422535211268</c:v>
                </c:pt>
                <c:pt idx="265">
                  <c:v>1.069767441860465</c:v>
                </c:pt>
                <c:pt idx="266">
                  <c:v>1.0454545454545454</c:v>
                </c:pt>
                <c:pt idx="267">
                  <c:v>1.5679012345679013</c:v>
                </c:pt>
                <c:pt idx="268">
                  <c:v>0.26666666666666666</c:v>
                </c:pt>
                <c:pt idx="269">
                  <c:v>1.7857142857142858</c:v>
                </c:pt>
                <c:pt idx="270">
                  <c:v>2</c:v>
                </c:pt>
                <c:pt idx="271">
                  <c:v>1.2666666666666666</c:v>
                </c:pt>
                <c:pt idx="272">
                  <c:v>2.4666666666666668</c:v>
                </c:pt>
                <c:pt idx="273">
                  <c:v>2.0303030303030303</c:v>
                </c:pt>
                <c:pt idx="274">
                  <c:v>2.15</c:v>
                </c:pt>
                <c:pt idx="275">
                  <c:v>1.1777777777777778</c:v>
                </c:pt>
                <c:pt idx="276">
                  <c:v>1.8888888888888888</c:v>
                </c:pt>
                <c:pt idx="277">
                  <c:v>1.0625</c:v>
                </c:pt>
                <c:pt idx="278">
                  <c:v>0.66666666666666663</c:v>
                </c:pt>
                <c:pt idx="279">
                  <c:v>1.375</c:v>
                </c:pt>
                <c:pt idx="280">
                  <c:v>3</c:v>
                </c:pt>
                <c:pt idx="281">
                  <c:v>0.29166666666666669</c:v>
                </c:pt>
                <c:pt idx="282">
                  <c:v>1.8</c:v>
                </c:pt>
                <c:pt idx="283">
                  <c:v>1.6046511627906976</c:v>
                </c:pt>
                <c:pt idx="284">
                  <c:v>1.0869565217391304</c:v>
                </c:pt>
                <c:pt idx="285">
                  <c:v>1</c:v>
                </c:pt>
                <c:pt idx="286">
                  <c:v>0</c:v>
                </c:pt>
                <c:pt idx="287">
                  <c:v>0.93333333333333335</c:v>
                </c:pt>
                <c:pt idx="288">
                  <c:v>0.53333333333333333</c:v>
                </c:pt>
                <c:pt idx="289">
                  <c:v>1.5555555555555556</c:v>
                </c:pt>
                <c:pt idx="290">
                  <c:v>2.1052631578947367</c:v>
                </c:pt>
                <c:pt idx="291">
                  <c:v>0.66666666666666663</c:v>
                </c:pt>
                <c:pt idx="292">
                  <c:v>2.6666666666666665</c:v>
                </c:pt>
                <c:pt idx="293">
                  <c:v>0.75</c:v>
                </c:pt>
                <c:pt idx="294">
                  <c:v>1.70422535211268</c:v>
                </c:pt>
                <c:pt idx="295">
                  <c:v>3.9871794871794872</c:v>
                </c:pt>
                <c:pt idx="296">
                  <c:v>1.9503546099290781</c:v>
                </c:pt>
                <c:pt idx="297">
                  <c:v>2.0833333333333335</c:v>
                </c:pt>
                <c:pt idx="298">
                  <c:v>3.0808080808080809</c:v>
                </c:pt>
                <c:pt idx="299">
                  <c:v>2.4876847290640396</c:v>
                </c:pt>
                <c:pt idx="300">
                  <c:v>1.3961352657004831</c:v>
                </c:pt>
                <c:pt idx="301">
                  <c:v>3.4307692307692306</c:v>
                </c:pt>
                <c:pt idx="302">
                  <c:v>2.1785714285714284</c:v>
                </c:pt>
                <c:pt idx="303">
                  <c:v>2.1388888888888888</c:v>
                </c:pt>
                <c:pt idx="304">
                  <c:v>1.976923076923077</c:v>
                </c:pt>
                <c:pt idx="305">
                  <c:v>1.96875</c:v>
                </c:pt>
                <c:pt idx="306">
                  <c:v>3.900900900900901</c:v>
                </c:pt>
                <c:pt idx="307">
                  <c:v>2.3508771929824563</c:v>
                </c:pt>
                <c:pt idx="308">
                  <c:v>1.392156862745098</c:v>
                </c:pt>
                <c:pt idx="309">
                  <c:v>2.1533742331288344</c:v>
                </c:pt>
                <c:pt idx="310">
                  <c:v>3.1025641025641026</c:v>
                </c:pt>
                <c:pt idx="311">
                  <c:v>2.4545454545454546</c:v>
                </c:pt>
                <c:pt idx="312">
                  <c:v>1.4666666666666666</c:v>
                </c:pt>
                <c:pt idx="313">
                  <c:v>2.2352941176470589</c:v>
                </c:pt>
                <c:pt idx="314">
                  <c:v>1.9242424242424243</c:v>
                </c:pt>
                <c:pt idx="315">
                  <c:v>1.4608695652173913</c:v>
                </c:pt>
                <c:pt idx="316">
                  <c:v>2.5691056910569108</c:v>
                </c:pt>
                <c:pt idx="317">
                  <c:v>1.9367088607594938</c:v>
                </c:pt>
                <c:pt idx="318">
                  <c:v>1.3187500000000001</c:v>
                </c:pt>
                <c:pt idx="319">
                  <c:v>2</c:v>
                </c:pt>
                <c:pt idx="320">
                  <c:v>2.2906403940886699</c:v>
                </c:pt>
                <c:pt idx="321">
                  <c:v>5.395833333333333</c:v>
                </c:pt>
                <c:pt idx="322">
                  <c:v>2.396551724137931</c:v>
                </c:pt>
                <c:pt idx="323">
                  <c:v>2.0177935943060499</c:v>
                </c:pt>
                <c:pt idx="324">
                  <c:v>0.8571428571428571</c:v>
                </c:pt>
                <c:pt idx="325">
                  <c:v>2.1666666666666665</c:v>
                </c:pt>
                <c:pt idx="326">
                  <c:v>1.8843537414965987</c:v>
                </c:pt>
                <c:pt idx="327">
                  <c:v>1.9528301886792452</c:v>
                </c:pt>
                <c:pt idx="328">
                  <c:v>4.4375</c:v>
                </c:pt>
                <c:pt idx="329">
                  <c:v>3.3586956521739131</c:v>
                </c:pt>
                <c:pt idx="330">
                  <c:v>3.6470588235294117</c:v>
                </c:pt>
                <c:pt idx="331">
                  <c:v>2.0769230769230771</c:v>
                </c:pt>
                <c:pt idx="332">
                  <c:v>2.8222222222222224</c:v>
                </c:pt>
                <c:pt idx="333">
                  <c:v>1.4782608695652173</c:v>
                </c:pt>
                <c:pt idx="334">
                  <c:v>3.1780821917808217</c:v>
                </c:pt>
                <c:pt idx="335">
                  <c:v>2.4545454545454546</c:v>
                </c:pt>
                <c:pt idx="336">
                  <c:v>1.5538461538461539</c:v>
                </c:pt>
                <c:pt idx="337">
                  <c:v>1.6470588235294117</c:v>
                </c:pt>
                <c:pt idx="338">
                  <c:v>2.1052631578947367</c:v>
                </c:pt>
                <c:pt idx="339">
                  <c:v>1.4651162790697674</c:v>
                </c:pt>
                <c:pt idx="340">
                  <c:v>2.25</c:v>
                </c:pt>
                <c:pt idx="341">
                  <c:v>2.5531914893617023</c:v>
                </c:pt>
                <c:pt idx="342">
                  <c:v>2.0697674418604652</c:v>
                </c:pt>
                <c:pt idx="343">
                  <c:v>2.6111111111111112</c:v>
                </c:pt>
                <c:pt idx="344">
                  <c:v>1.9411764705882353</c:v>
                </c:pt>
                <c:pt idx="345">
                  <c:v>1.6099290780141844</c:v>
                </c:pt>
                <c:pt idx="346">
                  <c:v>3.6166666666666667</c:v>
                </c:pt>
                <c:pt idx="347">
                  <c:v>2</c:v>
                </c:pt>
                <c:pt idx="348">
                  <c:v>2.4333333333333331</c:v>
                </c:pt>
                <c:pt idx="349">
                  <c:v>2</c:v>
                </c:pt>
                <c:pt idx="350">
                  <c:v>1.8021978021978022</c:v>
                </c:pt>
                <c:pt idx="351">
                  <c:v>2.9874999999999998</c:v>
                </c:pt>
                <c:pt idx="352">
                  <c:v>0.83333333333333337</c:v>
                </c:pt>
                <c:pt idx="353">
                  <c:v>2</c:v>
                </c:pt>
                <c:pt idx="354">
                  <c:v>1.7391304347826086</c:v>
                </c:pt>
                <c:pt idx="355">
                  <c:v>1.7560975609756098</c:v>
                </c:pt>
                <c:pt idx="356">
                  <c:v>2.7702702702702702</c:v>
                </c:pt>
                <c:pt idx="357">
                  <c:v>4.4117647058823533</c:v>
                </c:pt>
                <c:pt idx="358">
                  <c:v>1.75</c:v>
                </c:pt>
                <c:pt idx="359">
                  <c:v>1.625</c:v>
                </c:pt>
                <c:pt idx="360">
                  <c:v>2.2142857142857144</c:v>
                </c:pt>
                <c:pt idx="361">
                  <c:v>2.6</c:v>
                </c:pt>
                <c:pt idx="362">
                  <c:v>1.1139240506329113</c:v>
                </c:pt>
                <c:pt idx="363">
                  <c:v>1.7238095238095239</c:v>
                </c:pt>
                <c:pt idx="364">
                  <c:v>3</c:v>
                </c:pt>
                <c:pt idx="365">
                  <c:v>2</c:v>
                </c:pt>
                <c:pt idx="366">
                  <c:v>3</c:v>
                </c:pt>
                <c:pt idx="367">
                  <c:v>2</c:v>
                </c:pt>
                <c:pt idx="368">
                  <c:v>1.6</c:v>
                </c:pt>
                <c:pt idx="369">
                  <c:v>0.14285714285714285</c:v>
                </c:pt>
                <c:pt idx="370">
                  <c:v>0.8</c:v>
                </c:pt>
                <c:pt idx="371">
                  <c:v>2.9090909090909092</c:v>
                </c:pt>
                <c:pt idx="372">
                  <c:v>1.4666666666666666</c:v>
                </c:pt>
                <c:pt idx="373">
                  <c:v>1</c:v>
                </c:pt>
                <c:pt idx="374">
                  <c:v>2.1428571428571428</c:v>
                </c:pt>
                <c:pt idx="375">
                  <c:v>1.3636363636363635</c:v>
                </c:pt>
                <c:pt idx="376">
                  <c:v>2.2580645161290325</c:v>
                </c:pt>
                <c:pt idx="377">
                  <c:v>3.784313725490196</c:v>
                </c:pt>
                <c:pt idx="378">
                  <c:v>2.459016393442623</c:v>
                </c:pt>
                <c:pt idx="379">
                  <c:v>4</c:v>
                </c:pt>
                <c:pt idx="380">
                  <c:v>4.166666666666667</c:v>
                </c:pt>
                <c:pt idx="381">
                  <c:v>1.5</c:v>
                </c:pt>
                <c:pt idx="382">
                  <c:v>1</c:v>
                </c:pt>
                <c:pt idx="383">
                  <c:v>2.6836158192090394</c:v>
                </c:pt>
                <c:pt idx="384">
                  <c:v>1.8192771084337349</c:v>
                </c:pt>
                <c:pt idx="385">
                  <c:v>2.1081081081081079</c:v>
                </c:pt>
                <c:pt idx="386">
                  <c:v>2.4019607843137254</c:v>
                </c:pt>
                <c:pt idx="387">
                  <c:v>1.4166666666666667</c:v>
                </c:pt>
                <c:pt idx="388">
                  <c:v>2.6962025316455698</c:v>
                </c:pt>
                <c:pt idx="389">
                  <c:v>1.0840336134453781</c:v>
                </c:pt>
                <c:pt idx="390">
                  <c:v>2.3548387096774195</c:v>
                </c:pt>
                <c:pt idx="391">
                  <c:v>3.3493975903614457</c:v>
                </c:pt>
                <c:pt idx="392">
                  <c:v>2.0833333333333335</c:v>
                </c:pt>
                <c:pt idx="393">
                  <c:v>2.6794871794871793</c:v>
                </c:pt>
                <c:pt idx="394">
                  <c:v>2.518987341772152</c:v>
                </c:pt>
                <c:pt idx="395">
                  <c:v>2.8923076923076922</c:v>
                </c:pt>
                <c:pt idx="396">
                  <c:v>2.9615384615384617</c:v>
                </c:pt>
                <c:pt idx="397">
                  <c:v>1.6428571428571428</c:v>
                </c:pt>
                <c:pt idx="398">
                  <c:v>0.9285714285714286</c:v>
                </c:pt>
                <c:pt idx="399">
                  <c:v>2.4507042253521125</c:v>
                </c:pt>
                <c:pt idx="400">
                  <c:v>1.6415094339622642</c:v>
                </c:pt>
                <c:pt idx="401">
                  <c:v>1.8604651162790697</c:v>
                </c:pt>
                <c:pt idx="402">
                  <c:v>2.5714285714285716</c:v>
                </c:pt>
                <c:pt idx="403">
                  <c:v>2.2727272727272729</c:v>
                </c:pt>
                <c:pt idx="404">
                  <c:v>1.3571428571428572</c:v>
                </c:pt>
                <c:pt idx="405">
                  <c:v>1.3174603174603174</c:v>
                </c:pt>
                <c:pt idx="406">
                  <c:v>1.5714285714285714</c:v>
                </c:pt>
                <c:pt idx="407">
                  <c:v>2.0625</c:v>
                </c:pt>
                <c:pt idx="408">
                  <c:v>3</c:v>
                </c:pt>
                <c:pt idx="409">
                  <c:v>1.3636363636363635</c:v>
                </c:pt>
                <c:pt idx="410">
                  <c:v>7.333333333333333</c:v>
                </c:pt>
                <c:pt idx="411">
                  <c:v>2.25</c:v>
                </c:pt>
                <c:pt idx="412">
                  <c:v>2.4455128205128207</c:v>
                </c:pt>
                <c:pt idx="413">
                  <c:v>2.4090909090909092</c:v>
                </c:pt>
                <c:pt idx="414">
                  <c:v>2.4923076923076923</c:v>
                </c:pt>
                <c:pt idx="415">
                  <c:v>2.3179190751445087</c:v>
                </c:pt>
                <c:pt idx="416">
                  <c:v>2.6825396825396823</c:v>
                </c:pt>
                <c:pt idx="417">
                  <c:v>1.4171122994652405</c:v>
                </c:pt>
                <c:pt idx="418">
                  <c:v>2.811023622047244</c:v>
                </c:pt>
                <c:pt idx="419">
                  <c:v>1.2341772151898733</c:v>
                </c:pt>
                <c:pt idx="420">
                  <c:v>3.4526315789473685</c:v>
                </c:pt>
                <c:pt idx="421">
                  <c:v>2.8608695652173912</c:v>
                </c:pt>
                <c:pt idx="422">
                  <c:v>1.3891625615763548</c:v>
                </c:pt>
                <c:pt idx="423">
                  <c:v>2.2890625</c:v>
                </c:pt>
                <c:pt idx="424">
                  <c:v>2.7222222222222223</c:v>
                </c:pt>
                <c:pt idx="425">
                  <c:v>1.8559322033898304</c:v>
                </c:pt>
                <c:pt idx="426">
                  <c:v>1.4594594594594594</c:v>
                </c:pt>
                <c:pt idx="427">
                  <c:v>2.84375</c:v>
                </c:pt>
                <c:pt idx="428">
                  <c:v>2.3888888888888888</c:v>
                </c:pt>
                <c:pt idx="429">
                  <c:v>2.8095238095238093</c:v>
                </c:pt>
                <c:pt idx="430">
                  <c:v>1.8</c:v>
                </c:pt>
                <c:pt idx="431">
                  <c:v>2.4090909090909092</c:v>
                </c:pt>
                <c:pt idx="432">
                  <c:v>2.8229166666666665</c:v>
                </c:pt>
                <c:pt idx="433">
                  <c:v>1.8571428571428572</c:v>
                </c:pt>
                <c:pt idx="434">
                  <c:v>1.5611510791366907</c:v>
                </c:pt>
                <c:pt idx="435">
                  <c:v>2.1586206896551725</c:v>
                </c:pt>
                <c:pt idx="436">
                  <c:v>2.3846153846153846</c:v>
                </c:pt>
                <c:pt idx="437">
                  <c:v>2.0060975609756095</c:v>
                </c:pt>
                <c:pt idx="438">
                  <c:v>2.2758620689655173</c:v>
                </c:pt>
                <c:pt idx="439">
                  <c:v>1.4883720930232558</c:v>
                </c:pt>
                <c:pt idx="440">
                  <c:v>1.7272727272727273</c:v>
                </c:pt>
                <c:pt idx="441">
                  <c:v>4.1951219512195124</c:v>
                </c:pt>
                <c:pt idx="442">
                  <c:v>2.1836734693877551</c:v>
                </c:pt>
                <c:pt idx="443">
                  <c:v>2.2037037037037037</c:v>
                </c:pt>
                <c:pt idx="444">
                  <c:v>2.1025641025641026</c:v>
                </c:pt>
                <c:pt idx="445">
                  <c:v>1.5818181818181818</c:v>
                </c:pt>
                <c:pt idx="446">
                  <c:v>1.6626506024096386</c:v>
                </c:pt>
                <c:pt idx="447">
                  <c:v>2.2857142857142856</c:v>
                </c:pt>
                <c:pt idx="448">
                  <c:v>1.5688622754491017</c:v>
                </c:pt>
                <c:pt idx="449">
                  <c:v>2.4545454545454546</c:v>
                </c:pt>
                <c:pt idx="450">
                  <c:v>0.66666666666666663</c:v>
                </c:pt>
                <c:pt idx="451">
                  <c:v>2.1379310344827585</c:v>
                </c:pt>
                <c:pt idx="452">
                  <c:v>1.970873786407767</c:v>
                </c:pt>
                <c:pt idx="453">
                  <c:v>1.0070422535211268</c:v>
                </c:pt>
                <c:pt idx="454">
                  <c:v>2.5</c:v>
                </c:pt>
                <c:pt idx="455">
                  <c:v>0.5</c:v>
                </c:pt>
                <c:pt idx="456">
                  <c:v>1.3157894736842106</c:v>
                </c:pt>
                <c:pt idx="457">
                  <c:v>1.3</c:v>
                </c:pt>
                <c:pt idx="458">
                  <c:v>3.3777777777777778</c:v>
                </c:pt>
                <c:pt idx="459">
                  <c:v>1.8695652173913044</c:v>
                </c:pt>
                <c:pt idx="460">
                  <c:v>1.8113207547169812</c:v>
                </c:pt>
                <c:pt idx="461">
                  <c:v>2.2307692307692308</c:v>
                </c:pt>
                <c:pt idx="462">
                  <c:v>5.6</c:v>
                </c:pt>
                <c:pt idx="463">
                  <c:v>3.0506329113924049</c:v>
                </c:pt>
                <c:pt idx="464">
                  <c:v>1.96875</c:v>
                </c:pt>
                <c:pt idx="465">
                  <c:v>1.8217821782178218</c:v>
                </c:pt>
                <c:pt idx="466">
                  <c:v>2.9268292682926829</c:v>
                </c:pt>
                <c:pt idx="467">
                  <c:v>1.8636363636363635</c:v>
                </c:pt>
                <c:pt idx="468">
                  <c:v>1.0227272727272727</c:v>
                </c:pt>
                <c:pt idx="469">
                  <c:v>2.2641509433962264</c:v>
                </c:pt>
                <c:pt idx="470">
                  <c:v>0.96078431372549022</c:v>
                </c:pt>
                <c:pt idx="471">
                  <c:v>2.1896551724137931</c:v>
                </c:pt>
                <c:pt idx="472">
                  <c:v>2.0625</c:v>
                </c:pt>
                <c:pt idx="473">
                  <c:v>2.1666666666666665</c:v>
                </c:pt>
                <c:pt idx="474">
                  <c:v>3.1860465116279069</c:v>
                </c:pt>
                <c:pt idx="475">
                  <c:v>1.7826086956521738</c:v>
                </c:pt>
                <c:pt idx="476">
                  <c:v>2.6388888888888888</c:v>
                </c:pt>
                <c:pt idx="477">
                  <c:v>1.8737864077669903</c:v>
                </c:pt>
                <c:pt idx="478">
                  <c:v>1.9259259259259258</c:v>
                </c:pt>
                <c:pt idx="479">
                  <c:v>1.85</c:v>
                </c:pt>
                <c:pt idx="480">
                  <c:v>9.6666666666666661</c:v>
                </c:pt>
                <c:pt idx="481">
                  <c:v>2.7647058823529411</c:v>
                </c:pt>
                <c:pt idx="482">
                  <c:v>2.0303030303030303</c:v>
                </c:pt>
                <c:pt idx="483">
                  <c:v>2.0217391304347827</c:v>
                </c:pt>
                <c:pt idx="484">
                  <c:v>2.7547169811320753</c:v>
                </c:pt>
                <c:pt idx="485">
                  <c:v>0</c:v>
                </c:pt>
                <c:pt idx="486">
                  <c:v>1.5</c:v>
                </c:pt>
                <c:pt idx="487">
                  <c:v>2</c:v>
                </c:pt>
                <c:pt idx="488">
                  <c:v>1</c:v>
                </c:pt>
                <c:pt idx="489">
                  <c:v>0</c:v>
                </c:pt>
                <c:pt idx="490">
                  <c:v>2</c:v>
                </c:pt>
                <c:pt idx="491">
                  <c:v>1</c:v>
                </c:pt>
                <c:pt idx="492">
                  <c:v>2.1</c:v>
                </c:pt>
                <c:pt idx="493">
                  <c:v>1.8181818181818181</c:v>
                </c:pt>
                <c:pt idx="494">
                  <c:v>0</c:v>
                </c:pt>
                <c:pt idx="495">
                  <c:v>3</c:v>
                </c:pt>
                <c:pt idx="496">
                  <c:v>1</c:v>
                </c:pt>
                <c:pt idx="497">
                  <c:v>1</c:v>
                </c:pt>
                <c:pt idx="498">
                  <c:v>0.33333333333333331</c:v>
                </c:pt>
                <c:pt idx="499">
                  <c:v>1</c:v>
                </c:pt>
                <c:pt idx="500">
                  <c:v>2.4</c:v>
                </c:pt>
                <c:pt idx="501">
                  <c:v>0.66666666666666663</c:v>
                </c:pt>
                <c:pt idx="502">
                  <c:v>3.3333333333333335</c:v>
                </c:pt>
                <c:pt idx="503">
                  <c:v>2.6</c:v>
                </c:pt>
                <c:pt idx="504">
                  <c:v>4.0625</c:v>
                </c:pt>
                <c:pt idx="505">
                  <c:v>2.2962962962962963</c:v>
                </c:pt>
                <c:pt idx="506">
                  <c:v>1.9705882352941178</c:v>
                </c:pt>
                <c:pt idx="507">
                  <c:v>1.0588235294117647</c:v>
                </c:pt>
                <c:pt idx="508">
                  <c:v>1.6086956521739131</c:v>
                </c:pt>
                <c:pt idx="509">
                  <c:v>3.1636363636363636</c:v>
                </c:pt>
                <c:pt idx="510">
                  <c:v>3.5119047619047619</c:v>
                </c:pt>
                <c:pt idx="511">
                  <c:v>2.7</c:v>
                </c:pt>
                <c:pt idx="512">
                  <c:v>0.75</c:v>
                </c:pt>
              </c:numCache>
            </c:numRef>
          </c:yVal>
          <c:smooth val="0"/>
          <c:extLst>
            <c:ext xmlns:c16="http://schemas.microsoft.com/office/drawing/2014/chart" uri="{C3380CC4-5D6E-409C-BE32-E72D297353CC}">
              <c16:uniqueId val="{00000000-B76A-1948-8A96-B5ACF73A70FD}"/>
            </c:ext>
          </c:extLst>
        </c:ser>
        <c:dLbls>
          <c:showLegendKey val="0"/>
          <c:showVal val="0"/>
          <c:showCatName val="0"/>
          <c:showSerName val="0"/>
          <c:showPercent val="0"/>
          <c:showBubbleSize val="0"/>
        </c:dLbls>
        <c:axId val="1659287999"/>
        <c:axId val="1677561343"/>
      </c:scatterChart>
      <c:valAx>
        <c:axId val="1659287999"/>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7561343"/>
        <c:crosses val="autoZero"/>
        <c:crossBetween val="midCat"/>
      </c:valAx>
      <c:valAx>
        <c:axId val="167756134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9287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[stats 3.xlsx]Visuals!PivotTable6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 in millions)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2"/>
            </a:solidFill>
          </a:ln>
          <a:effectLst/>
        </c:spPr>
      </c:pivotFmt>
    </c:pivotFmts>
    <c:plotArea>
      <c:layout/>
      <c:barChart>
        <c:barDir val="col"/>
        <c:grouping val="clustered"/>
        <c:varyColors val="0"/>
        <c:ser>
          <c:idx val="0"/>
          <c:order val="0"/>
          <c:tx>
            <c:strRef>
              <c:f>Visuals!$C$25</c:f>
              <c:strCache>
                <c:ptCount val="1"/>
                <c:pt idx="0">
                  <c:v>Total</c:v>
                </c:pt>
              </c:strCache>
            </c:strRef>
          </c:tx>
          <c:spPr>
            <a:solidFill>
              <a:schemeClr val="accent1"/>
            </a:solidFill>
            <a:ln>
              <a:solidFill>
                <a:schemeClr val="accent2"/>
              </a:solidFill>
            </a:ln>
            <a:effectLst/>
          </c:spPr>
          <c:invertIfNegative val="0"/>
          <c:cat>
            <c:strRef>
              <c:f>Visuals!$B$26:$B$35</c:f>
              <c:strCache>
                <c:ptCount val="9"/>
                <c:pt idx="0">
                  <c:v>&gt;$5</c:v>
                </c:pt>
                <c:pt idx="1">
                  <c:v>$5-10</c:v>
                </c:pt>
                <c:pt idx="2">
                  <c:v>$10-15</c:v>
                </c:pt>
                <c:pt idx="3">
                  <c:v>$15-20</c:v>
                </c:pt>
                <c:pt idx="4">
                  <c:v>$20-25</c:v>
                </c:pt>
                <c:pt idx="5">
                  <c:v>$25-30</c:v>
                </c:pt>
                <c:pt idx="6">
                  <c:v>$30-35</c:v>
                </c:pt>
                <c:pt idx="7">
                  <c:v>$35-40</c:v>
                </c:pt>
                <c:pt idx="8">
                  <c:v>$40-45</c:v>
                </c:pt>
              </c:strCache>
            </c:strRef>
          </c:cat>
          <c:val>
            <c:numRef>
              <c:f>Visuals!$C$26:$C$35</c:f>
              <c:numCache>
                <c:formatCode>General</c:formatCode>
                <c:ptCount val="9"/>
                <c:pt idx="0">
                  <c:v>320</c:v>
                </c:pt>
                <c:pt idx="1">
                  <c:v>78</c:v>
                </c:pt>
                <c:pt idx="2">
                  <c:v>39</c:v>
                </c:pt>
                <c:pt idx="3">
                  <c:v>27</c:v>
                </c:pt>
                <c:pt idx="4">
                  <c:v>8</c:v>
                </c:pt>
                <c:pt idx="5">
                  <c:v>20</c:v>
                </c:pt>
                <c:pt idx="6">
                  <c:v>13</c:v>
                </c:pt>
                <c:pt idx="7">
                  <c:v>2</c:v>
                </c:pt>
                <c:pt idx="8">
                  <c:v>6</c:v>
                </c:pt>
              </c:numCache>
            </c:numRef>
          </c:val>
          <c:extLst>
            <c:ext xmlns:c16="http://schemas.microsoft.com/office/drawing/2014/chart" uri="{C3380CC4-5D6E-409C-BE32-E72D297353CC}">
              <c16:uniqueId val="{00000000-A5C5-684A-8EFD-9A5915A8B208}"/>
            </c:ext>
          </c:extLst>
        </c:ser>
        <c:dLbls>
          <c:showLegendKey val="0"/>
          <c:showVal val="0"/>
          <c:showCatName val="0"/>
          <c:showSerName val="0"/>
          <c:showPercent val="0"/>
          <c:showBubbleSize val="0"/>
        </c:dLbls>
        <c:gapWidth val="0"/>
        <c:overlap val="-27"/>
        <c:axId val="1547506495"/>
        <c:axId val="1545236287"/>
      </c:barChart>
      <c:catAx>
        <c:axId val="154750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36287"/>
        <c:crosses val="autoZero"/>
        <c:auto val="1"/>
        <c:lblAlgn val="ctr"/>
        <c:lblOffset val="100"/>
        <c:noMultiLvlLbl val="0"/>
      </c:catAx>
      <c:valAx>
        <c:axId val="1545236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50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[stats 3.xlsx]Visuals!PivotTable7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Conference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Visuals!$C$43</c:f>
              <c:strCache>
                <c:ptCount val="1"/>
                <c:pt idx="0">
                  <c:v>Total</c:v>
                </c:pt>
              </c:strCache>
            </c:strRef>
          </c:tx>
          <c:spPr>
            <a:solidFill>
              <a:schemeClr val="accent1"/>
            </a:solidFill>
            <a:ln>
              <a:noFill/>
            </a:ln>
            <a:effectLst/>
          </c:spPr>
          <c:invertIfNegative val="0"/>
          <c:cat>
            <c:strRef>
              <c:f>Visuals!$B$44:$B$47</c:f>
              <c:strCache>
                <c:ptCount val="3"/>
                <c:pt idx="0">
                  <c:v>East</c:v>
                </c:pt>
                <c:pt idx="1">
                  <c:v>Multiple Teams</c:v>
                </c:pt>
                <c:pt idx="2">
                  <c:v>West</c:v>
                </c:pt>
              </c:strCache>
            </c:strRef>
          </c:cat>
          <c:val>
            <c:numRef>
              <c:f>Visuals!$C$44:$C$47</c:f>
              <c:numCache>
                <c:formatCode>General</c:formatCode>
                <c:ptCount val="3"/>
                <c:pt idx="0">
                  <c:v>216</c:v>
                </c:pt>
                <c:pt idx="1">
                  <c:v>77</c:v>
                </c:pt>
                <c:pt idx="2">
                  <c:v>220</c:v>
                </c:pt>
              </c:numCache>
            </c:numRef>
          </c:val>
          <c:extLst>
            <c:ext xmlns:c16="http://schemas.microsoft.com/office/drawing/2014/chart" uri="{C3380CC4-5D6E-409C-BE32-E72D297353CC}">
              <c16:uniqueId val="{00000000-0A0F-AA42-9B58-7339BF47376E}"/>
            </c:ext>
          </c:extLst>
        </c:ser>
        <c:dLbls>
          <c:showLegendKey val="0"/>
          <c:showVal val="0"/>
          <c:showCatName val="0"/>
          <c:showSerName val="0"/>
          <c:showPercent val="0"/>
          <c:showBubbleSize val="0"/>
        </c:dLbls>
        <c:gapWidth val="219"/>
        <c:overlap val="-27"/>
        <c:axId val="1567673407"/>
        <c:axId val="1567678783"/>
      </c:barChart>
      <c:catAx>
        <c:axId val="156767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78783"/>
        <c:crosses val="autoZero"/>
        <c:auto val="1"/>
        <c:lblAlgn val="ctr"/>
        <c:lblOffset val="100"/>
        <c:noMultiLvlLbl val="0"/>
      </c:catAx>
      <c:valAx>
        <c:axId val="1567678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7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[stats 3.xlsx]Visuals!PivotTable8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Position 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Visuals!$C$60</c:f>
              <c:strCache>
                <c:ptCount val="1"/>
                <c:pt idx="0">
                  <c:v>Total</c:v>
                </c:pt>
              </c:strCache>
            </c:strRef>
          </c:tx>
          <c:spPr>
            <a:solidFill>
              <a:schemeClr val="accent1"/>
            </a:solidFill>
            <a:ln>
              <a:noFill/>
            </a:ln>
            <a:effectLst/>
          </c:spPr>
          <c:invertIfNegative val="0"/>
          <c:cat>
            <c:strRef>
              <c:f>Visuals!$B$61:$B$64</c:f>
              <c:strCache>
                <c:ptCount val="3"/>
                <c:pt idx="0">
                  <c:v>Guard</c:v>
                </c:pt>
                <c:pt idx="1">
                  <c:v>Forward</c:v>
                </c:pt>
                <c:pt idx="2">
                  <c:v>Center</c:v>
                </c:pt>
              </c:strCache>
            </c:strRef>
          </c:cat>
          <c:val>
            <c:numRef>
              <c:f>Visuals!$C$61:$C$64</c:f>
              <c:numCache>
                <c:formatCode>General</c:formatCode>
                <c:ptCount val="3"/>
                <c:pt idx="0">
                  <c:v>219</c:v>
                </c:pt>
                <c:pt idx="1">
                  <c:v>199</c:v>
                </c:pt>
                <c:pt idx="2">
                  <c:v>94</c:v>
                </c:pt>
              </c:numCache>
            </c:numRef>
          </c:val>
          <c:extLst>
            <c:ext xmlns:c16="http://schemas.microsoft.com/office/drawing/2014/chart" uri="{C3380CC4-5D6E-409C-BE32-E72D297353CC}">
              <c16:uniqueId val="{00000000-0D31-C54B-A910-AEBE3AF98174}"/>
            </c:ext>
          </c:extLst>
        </c:ser>
        <c:dLbls>
          <c:showLegendKey val="0"/>
          <c:showVal val="0"/>
          <c:showCatName val="0"/>
          <c:showSerName val="0"/>
          <c:showPercent val="0"/>
          <c:showBubbleSize val="0"/>
        </c:dLbls>
        <c:gapWidth val="219"/>
        <c:overlap val="-27"/>
        <c:axId val="1408517439"/>
        <c:axId val="1563481343"/>
      </c:barChart>
      <c:catAx>
        <c:axId val="140851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81343"/>
        <c:crosses val="autoZero"/>
        <c:auto val="1"/>
        <c:lblAlgn val="ctr"/>
        <c:lblOffset val="100"/>
        <c:noMultiLvlLbl val="0"/>
      </c:catAx>
      <c:valAx>
        <c:axId val="156348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51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[stats 3.xlsx]Visuals!PivotTable9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Assist to Turnover</a:t>
            </a:r>
            <a:r>
              <a:rPr lang="en-US" baseline="0"/>
              <a:t> Ratio by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Visuals!$C$76</c:f>
              <c:strCache>
                <c:ptCount val="1"/>
                <c:pt idx="0">
                  <c:v>Total</c:v>
                </c:pt>
              </c:strCache>
            </c:strRef>
          </c:tx>
          <c:spPr>
            <a:solidFill>
              <a:schemeClr val="accent1"/>
            </a:solidFill>
            <a:ln>
              <a:noFill/>
            </a:ln>
            <a:effectLst/>
          </c:spPr>
          <c:invertIfNegative val="0"/>
          <c:cat>
            <c:strRef>
              <c:f>Visuals!$B$77:$B$80</c:f>
              <c:strCache>
                <c:ptCount val="3"/>
                <c:pt idx="0">
                  <c:v>Guard</c:v>
                </c:pt>
                <c:pt idx="1">
                  <c:v>Forward</c:v>
                </c:pt>
                <c:pt idx="2">
                  <c:v>Center</c:v>
                </c:pt>
              </c:strCache>
            </c:strRef>
          </c:cat>
          <c:val>
            <c:numRef>
              <c:f>Visuals!$C$77:$C$80</c:f>
              <c:numCache>
                <c:formatCode>General</c:formatCode>
                <c:ptCount val="3"/>
                <c:pt idx="0">
                  <c:v>2.1967188329444758</c:v>
                </c:pt>
                <c:pt idx="1">
                  <c:v>1.5512977615569346</c:v>
                </c:pt>
                <c:pt idx="2">
                  <c:v>1.2671069534432418</c:v>
                </c:pt>
              </c:numCache>
            </c:numRef>
          </c:val>
          <c:extLst>
            <c:ext xmlns:c16="http://schemas.microsoft.com/office/drawing/2014/chart" uri="{C3380CC4-5D6E-409C-BE32-E72D297353CC}">
              <c16:uniqueId val="{00000000-2287-1E49-8179-9F4001D0D57F}"/>
            </c:ext>
          </c:extLst>
        </c:ser>
        <c:dLbls>
          <c:showLegendKey val="0"/>
          <c:showVal val="0"/>
          <c:showCatName val="0"/>
          <c:showSerName val="0"/>
          <c:showPercent val="0"/>
          <c:showBubbleSize val="0"/>
        </c:dLbls>
        <c:gapWidth val="219"/>
        <c:overlap val="-27"/>
        <c:axId val="1559408895"/>
        <c:axId val="1559588671"/>
      </c:barChart>
      <c:catAx>
        <c:axId val="155940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88671"/>
        <c:crosses val="autoZero"/>
        <c:auto val="1"/>
        <c:lblAlgn val="ctr"/>
        <c:lblOffset val="100"/>
        <c:noMultiLvlLbl val="0"/>
      </c:catAx>
      <c:valAx>
        <c:axId val="155958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40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Blocks Boxplot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Blocks Boxplot</a:t>
          </a:r>
        </a:p>
      </cx:txPr>
    </cx:title>
    <cx:plotArea>
      <cx:plotAreaRegion>
        <cx:series layoutId="boxWhisker" uniqueId="{00000000-7EFB-8C49-B50B-38B451321212}">
          <cx:tx>
            <cx:txData>
              <cx:f/>
              <cx:v>Blocks</cx:v>
            </cx:txData>
          </cx:tx>
          <cx:dataId val="0"/>
          <cx:layoutPr>
            <cx:visibility meanLine="0" meanMarker="1" nonoutliers="0" outliers="1"/>
            <cx:statistics quartileMethod="exclusive"/>
          </cx:layoutPr>
        </cx:series>
      </cx:plotAreaRegion>
      <cx:axis id="0" hidden="1">
        <cx:catScaling gapWidth="1"/>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Steals Boxplot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Steals Boxplot</a:t>
          </a:r>
        </a:p>
      </cx:txPr>
    </cx:title>
    <cx:plotArea>
      <cx:plotAreaRegion>
        <cx:series layoutId="boxWhisker" uniqueId="{00000000-7EFB-8C49-B50B-38B451321212}">
          <cx:tx>
            <cx:txData>
              <cx:f/>
              <cx:v>Steals</cx:v>
            </cx:txData>
          </cx:tx>
          <cx:dataId val="0"/>
          <cx:layoutPr>
            <cx:visibility meanLine="0" meanMarker="1" nonoutliers="0" outliers="1"/>
            <cx:statistics quartileMethod="exclusive"/>
          </cx:layoutPr>
        </cx:series>
      </cx:plotAreaRegion>
      <cx:axis id="0" hidden="1">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9.xml"/><Relationship Id="rId5" Type="http://schemas.microsoft.com/office/2014/relationships/chartEx" Target="../charts/chartEx2.xml"/><Relationship Id="rId10" Type="http://schemas.openxmlformats.org/officeDocument/2006/relationships/chart" Target="../charts/chart8.xml"/><Relationship Id="rId4" Type="http://schemas.microsoft.com/office/2014/relationships/chartEx" Target="../charts/chartEx1.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5080</xdr:colOff>
      <xdr:row>1</xdr:row>
      <xdr:rowOff>5080</xdr:rowOff>
    </xdr:from>
    <xdr:to>
      <xdr:col>10</xdr:col>
      <xdr:colOff>0</xdr:colOff>
      <xdr:row>16</xdr:row>
      <xdr:rowOff>71120</xdr:rowOff>
    </xdr:to>
    <xdr:graphicFrame macro="">
      <xdr:nvGraphicFramePr>
        <xdr:cNvPr id="2" name="Chart 1">
          <a:extLst>
            <a:ext uri="{FF2B5EF4-FFF2-40B4-BE49-F238E27FC236}">
              <a16:creationId xmlns:a16="http://schemas.microsoft.com/office/drawing/2014/main" id="{095E44F2-5FAF-DFE0-19E6-537CA2979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5080</xdr:colOff>
      <xdr:row>1</xdr:row>
      <xdr:rowOff>15240</xdr:rowOff>
    </xdr:from>
    <xdr:to>
      <xdr:col>17</xdr:col>
      <xdr:colOff>10160</xdr:colOff>
      <xdr:row>15</xdr:row>
      <xdr:rowOff>172720</xdr:rowOff>
    </xdr:to>
    <xdr:graphicFrame macro="">
      <xdr:nvGraphicFramePr>
        <xdr:cNvPr id="6" name="Chart 5">
          <a:extLst>
            <a:ext uri="{FF2B5EF4-FFF2-40B4-BE49-F238E27FC236}">
              <a16:creationId xmlns:a16="http://schemas.microsoft.com/office/drawing/2014/main" id="{76D4FD3E-D067-89DA-7186-61B765A1A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17</xdr:row>
      <xdr:rowOff>0</xdr:rowOff>
    </xdr:from>
    <xdr:to>
      <xdr:col>17</xdr:col>
      <xdr:colOff>5080</xdr:colOff>
      <xdr:row>31</xdr:row>
      <xdr:rowOff>157480</xdr:rowOff>
    </xdr:to>
    <xdr:graphicFrame macro="">
      <xdr:nvGraphicFramePr>
        <xdr:cNvPr id="7" name="Chart 6">
          <a:extLst>
            <a:ext uri="{FF2B5EF4-FFF2-40B4-BE49-F238E27FC236}">
              <a16:creationId xmlns:a16="http://schemas.microsoft.com/office/drawing/2014/main" id="{766EF9A1-7F83-A94B-B2A8-BFED96C5E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5080</xdr:colOff>
      <xdr:row>0</xdr:row>
      <xdr:rowOff>198120</xdr:rowOff>
    </xdr:from>
    <xdr:to>
      <xdr:col>24</xdr:col>
      <xdr:colOff>426720</xdr:colOff>
      <xdr:row>16</xdr:row>
      <xdr:rowOff>10160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B2C8FEA9-7AD3-4485-5FD2-862F967E70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753080" y="198120"/>
              <a:ext cx="5374640" cy="30632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0</xdr:colOff>
      <xdr:row>17</xdr:row>
      <xdr:rowOff>0</xdr:rowOff>
    </xdr:from>
    <xdr:to>
      <xdr:col>24</xdr:col>
      <xdr:colOff>421640</xdr:colOff>
      <xdr:row>32</xdr:row>
      <xdr:rowOff>15240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45BB2053-58BD-7E4E-BA8E-34328AA684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748000" y="3454400"/>
              <a:ext cx="5374640" cy="30632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33</xdr:row>
      <xdr:rowOff>0</xdr:rowOff>
    </xdr:from>
    <xdr:to>
      <xdr:col>17</xdr:col>
      <xdr:colOff>5080</xdr:colOff>
      <xdr:row>47</xdr:row>
      <xdr:rowOff>157480</xdr:rowOff>
    </xdr:to>
    <xdr:graphicFrame macro="">
      <xdr:nvGraphicFramePr>
        <xdr:cNvPr id="16" name="Chart 15">
          <a:extLst>
            <a:ext uri="{FF2B5EF4-FFF2-40B4-BE49-F238E27FC236}">
              <a16:creationId xmlns:a16="http://schemas.microsoft.com/office/drawing/2014/main" id="{FB624D0D-108D-1041-823D-6F82F3AB1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0</xdr:colOff>
      <xdr:row>49</xdr:row>
      <xdr:rowOff>0</xdr:rowOff>
    </xdr:from>
    <xdr:to>
      <xdr:col>17</xdr:col>
      <xdr:colOff>5080</xdr:colOff>
      <xdr:row>63</xdr:row>
      <xdr:rowOff>157480</xdr:rowOff>
    </xdr:to>
    <xdr:graphicFrame macro="">
      <xdr:nvGraphicFramePr>
        <xdr:cNvPr id="17" name="Chart 16">
          <a:extLst>
            <a:ext uri="{FF2B5EF4-FFF2-40B4-BE49-F238E27FC236}">
              <a16:creationId xmlns:a16="http://schemas.microsoft.com/office/drawing/2014/main" id="{E7AE0D80-AB84-7041-96E9-B3118CEA0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10160</xdr:colOff>
      <xdr:row>24</xdr:row>
      <xdr:rowOff>15240</xdr:rowOff>
    </xdr:from>
    <xdr:to>
      <xdr:col>10</xdr:col>
      <xdr:colOff>10160</xdr:colOff>
      <xdr:row>39</xdr:row>
      <xdr:rowOff>193040</xdr:rowOff>
    </xdr:to>
    <xdr:graphicFrame macro="">
      <xdr:nvGraphicFramePr>
        <xdr:cNvPr id="18" name="Chart 17">
          <a:extLst>
            <a:ext uri="{FF2B5EF4-FFF2-40B4-BE49-F238E27FC236}">
              <a16:creationId xmlns:a16="http://schemas.microsoft.com/office/drawing/2014/main" id="{100B7B1A-8F9C-F4E3-E662-299372DE3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42</xdr:row>
      <xdr:rowOff>15240</xdr:rowOff>
    </xdr:from>
    <xdr:to>
      <xdr:col>9</xdr:col>
      <xdr:colOff>812800</xdr:colOff>
      <xdr:row>57</xdr:row>
      <xdr:rowOff>121920</xdr:rowOff>
    </xdr:to>
    <xdr:graphicFrame macro="">
      <xdr:nvGraphicFramePr>
        <xdr:cNvPr id="19" name="Chart 18">
          <a:extLst>
            <a:ext uri="{FF2B5EF4-FFF2-40B4-BE49-F238E27FC236}">
              <a16:creationId xmlns:a16="http://schemas.microsoft.com/office/drawing/2014/main" id="{924EE9FC-795C-A6C3-CB09-30EDC8842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10160</xdr:colOff>
      <xdr:row>58</xdr:row>
      <xdr:rowOff>198120</xdr:rowOff>
    </xdr:from>
    <xdr:to>
      <xdr:col>10</xdr:col>
      <xdr:colOff>0</xdr:colOff>
      <xdr:row>73</xdr:row>
      <xdr:rowOff>172720</xdr:rowOff>
    </xdr:to>
    <xdr:graphicFrame macro="">
      <xdr:nvGraphicFramePr>
        <xdr:cNvPr id="20" name="Chart 19">
          <a:extLst>
            <a:ext uri="{FF2B5EF4-FFF2-40B4-BE49-F238E27FC236}">
              <a16:creationId xmlns:a16="http://schemas.microsoft.com/office/drawing/2014/main" id="{43A8E71E-C689-19BD-B0E2-CFEFEEFC3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10160</xdr:colOff>
      <xdr:row>75</xdr:row>
      <xdr:rowOff>15240</xdr:rowOff>
    </xdr:from>
    <xdr:to>
      <xdr:col>9</xdr:col>
      <xdr:colOff>812800</xdr:colOff>
      <xdr:row>90</xdr:row>
      <xdr:rowOff>20320</xdr:rowOff>
    </xdr:to>
    <xdr:graphicFrame macro="">
      <xdr:nvGraphicFramePr>
        <xdr:cNvPr id="21" name="Chart 20">
          <a:extLst>
            <a:ext uri="{FF2B5EF4-FFF2-40B4-BE49-F238E27FC236}">
              <a16:creationId xmlns:a16="http://schemas.microsoft.com/office/drawing/2014/main" id="{5188883B-ED6B-A8EF-69A3-604B1967C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4.702379050927" createdVersion="8" refreshedVersion="8" minRefreshableVersion="3" recordCount="513" xr:uid="{BAF5C8C0-9576-C542-B5FE-A45ACA654AF5}">
  <cacheSource type="worksheet">
    <worksheetSource ref="A1:L514" sheet="Data"/>
  </cacheSource>
  <cacheFields count="12">
    <cacheField name="Player" numFmtId="0">
      <sharedItems/>
    </cacheField>
    <cacheField name="Age" numFmtId="0">
      <sharedItems containsSemiMixedTypes="0" containsString="0" containsNumber="1" containsInteger="1" minValue="19" maxValue="40" count="20">
        <n v="27"/>
        <n v="25"/>
        <n v="28"/>
        <n v="34"/>
        <n v="26"/>
        <n v="29"/>
        <n v="22"/>
        <n v="31"/>
        <n v="19"/>
        <n v="21"/>
        <n v="23"/>
        <n v="20"/>
        <n v="24"/>
        <n v="32"/>
        <n v="36"/>
        <n v="30"/>
        <n v="35"/>
        <n v="33"/>
        <n v="40"/>
        <n v="37"/>
      </sharedItems>
    </cacheField>
    <cacheField name="Conf" numFmtId="0">
      <sharedItems count="3">
        <s v="West"/>
        <s v="Multiple Teams"/>
        <s v="East"/>
      </sharedItems>
    </cacheField>
    <cacheField name="Pos" numFmtId="0">
      <sharedItems count="3">
        <s v="Center"/>
        <s v="Forward"/>
        <s v="Guard"/>
      </sharedItems>
    </cacheField>
    <cacheField name="eFG%" numFmtId="0">
      <sharedItems containsSemiMixedTypes="0" containsString="0" containsNumber="1" minValue="0" maxValue="1"/>
    </cacheField>
    <cacheField name="TRB" numFmtId="0">
      <sharedItems containsSemiMixedTypes="0" containsString="0" containsNumber="1" containsInteger="1" minValue="1" maxValue="960"/>
    </cacheField>
    <cacheField name="STL" numFmtId="0">
      <sharedItems containsSemiMixedTypes="0" containsString="0" containsNumber="1" containsInteger="1" minValue="0" maxValue="128"/>
    </cacheField>
    <cacheField name="BLK" numFmtId="0">
      <sharedItems containsSemiMixedTypes="0" containsString="0" containsNumber="1" containsInteger="1" minValue="0" maxValue="190"/>
    </cacheField>
    <cacheField name="PTS" numFmtId="0">
      <sharedItems containsSemiMixedTypes="0" containsString="0" containsNumber="1" containsInteger="1" minValue="0" maxValue="2015"/>
    </cacheField>
    <cacheField name="Player-additional" numFmtId="0">
      <sharedItems/>
    </cacheField>
    <cacheField name="SalaryUSD" numFmtId="0">
      <sharedItems containsSemiMixedTypes="0" containsString="0" containsNumber="1" containsInteger="1" minValue="11898" maxValue="43006362" count="321">
        <n v="29592696"/>
        <n v="29542010"/>
        <n v="29467800"/>
        <n v="27525281"/>
        <n v="27500000"/>
        <n v="15000000"/>
        <n v="13015873"/>
        <n v="12888889"/>
        <n v="11080125"/>
        <n v="9562920"/>
        <n v="9258000"/>
        <n v="9250000"/>
        <n v="8730240"/>
        <n v="8101852"/>
        <n v="7257360"/>
        <n v="7000000"/>
        <n v="5105160"/>
        <n v="5005350"/>
        <n v="4464226"/>
        <n v="4100000"/>
        <n v="3500000"/>
        <n v="2564753"/>
        <n v="2283034"/>
        <n v="1977000"/>
        <n v="1620564"/>
        <n v="1517981"/>
        <n v="898310"/>
        <n v="700000"/>
        <n v="449155"/>
        <n v="26000000"/>
        <n v="24000000"/>
        <n v="5448840"/>
        <n v="5000000"/>
        <n v="4200000"/>
        <n v="3909902"/>
        <n v="3542060"/>
        <n v="3000000"/>
        <n v="2250000"/>
        <n v="1265372"/>
        <n v="1000000"/>
        <n v="794536"/>
        <n v="500000"/>
        <n v="237965"/>
        <n v="233095"/>
        <n v="221995"/>
        <n v="18000000"/>
        <n v="16000000"/>
        <n v="15415730"/>
        <n v="12697674"/>
        <n v="10375678"/>
        <n v="9400000"/>
        <n v="8333333"/>
        <n v="8000000"/>
        <n v="7529020"/>
        <n v="7300000"/>
        <n v="6750000"/>
        <n v="5969040"/>
        <n v="5813640"/>
        <n v="5115492"/>
        <n v="3623000"/>
        <n v="3121080"/>
        <n v="2957520"/>
        <n v="2029920"/>
        <n v="1882867"/>
        <n v="1663861"/>
        <n v="1442968"/>
        <n v="1350000"/>
        <n v="1087776"/>
        <n v="432890"/>
        <n v="35450412"/>
        <n v="34379100"/>
        <n v="32742000"/>
        <n v="27739975"/>
        <n v="27285000"/>
        <n v="22246956"/>
        <n v="22215909"/>
        <n v="17850000"/>
        <n v="14888721"/>
        <n v="14500000"/>
        <n v="14375000"/>
        <n v="13723214"/>
        <n v="13000000"/>
        <n v="12138345"/>
        <n v="11400000"/>
        <n v="10863637"/>
        <n v="10245480"/>
        <n v="9505100"/>
        <n v="8963640"/>
        <n v="8500000"/>
        <n v="8325000"/>
        <n v="7199760"/>
        <n v="6493000"/>
        <n v="5500000"/>
        <n v="4326825"/>
        <n v="4245720"/>
        <n v="4161000"/>
        <n v="4033440"/>
        <n v="4000000"/>
        <n v="3870370"/>
        <n v="3761085"/>
        <n v="3717000"/>
        <n v="3562178"/>
        <n v="3550800"/>
        <n v="3491159"/>
        <n v="3077704"/>
        <n v="2964840"/>
        <n v="2892000"/>
        <n v="2602920"/>
        <n v="2339160"/>
        <n v="2284800"/>
        <n v="2210640"/>
        <n v="2058240"/>
        <n v="2048040"/>
        <n v="2000000"/>
        <n v="1964760"/>
        <n v="1900000"/>
        <n v="1824003"/>
        <n v="1783557"/>
        <n v="1762796"/>
        <n v="1752950"/>
        <n v="1663361"/>
        <n v="1500000"/>
        <n v="1445697"/>
        <n v="1349383"/>
        <n v="1300000"/>
        <n v="754783"/>
        <n v="120000"/>
        <n v="28489237"/>
        <n v="18136364"/>
        <n v="17150000"/>
        <n v="16047100"/>
        <n v="12598243"/>
        <n v="12250000"/>
        <n v="10047450"/>
        <n v="9720900"/>
        <n v="7969537"/>
        <n v="4548280"/>
        <n v="4102564"/>
        <n v="3219480"/>
        <n v="2443440"/>
        <n v="1780152"/>
        <n v="1678854"/>
        <n v="776983"/>
        <n v="430729"/>
        <n v="396081"/>
        <n v="154433"/>
        <n v="49510"/>
        <n v="40108950"/>
        <n v="34358850"/>
        <n v="33051724"/>
        <n v="31258256"/>
        <n v="30559200"/>
        <n v="28500000"/>
        <n v="27528090"/>
        <n v="19800000"/>
        <n v="19500000"/>
        <n v="19050000"/>
        <n v="18900000"/>
        <n v="16071429"/>
        <n v="15365853"/>
        <n v="13545000"/>
        <n v="12800000"/>
        <n v="12500000"/>
        <n v="11709091"/>
        <n v="9897120"/>
        <n v="8840580"/>
        <n v="7422000"/>
        <n v="7333333"/>
        <n v="7068360"/>
        <n v="6731508"/>
        <n v="4862040"/>
        <n v="4692840"/>
        <n v="4588680"/>
        <n v="4469160"/>
        <n v="4458000"/>
        <n v="4137302"/>
        <n v="4023600"/>
        <n v="3934320"/>
        <n v="3872215"/>
        <n v="3804150"/>
        <n v="3458400"/>
        <n v="3449400"/>
        <n v="3300000"/>
        <n v="2689920"/>
        <n v="2582160"/>
        <n v="2498760"/>
        <n v="2137440"/>
        <n v="1737145"/>
        <n v="1701593"/>
        <n v="757453"/>
        <n v="654469"/>
        <n v="652366"/>
        <n v="609128"/>
        <n v="399591"/>
        <n v="321893"/>
        <n v="263501"/>
        <n v="160173"/>
        <n v="116903"/>
        <n v="43006362"/>
        <n v="41358814"/>
        <n v="41254920"/>
        <n v="39219565"/>
        <n v="34502130"/>
        <n v="31626953"/>
        <n v="29354152"/>
        <n v="28649250"/>
        <n v="24701834"/>
        <n v="18975000"/>
        <n v="17000000"/>
        <n v="16875000"/>
        <n v="16869276"/>
        <n v="14286000"/>
        <n v="13535714"/>
        <n v="13425895"/>
        <n v="13333333"/>
        <n v="12073020"/>
        <n v="11500000"/>
        <n v="11003782"/>
        <n v="10865952"/>
        <n v="9757440"/>
        <n v="9571712"/>
        <n v="9166800"/>
        <n v="8817143"/>
        <n v="8099627"/>
        <n v="8049360"/>
        <n v="6104280"/>
        <n v="5273826"/>
        <n v="5195501"/>
        <n v="4141320"/>
        <n v="3925000"/>
        <n v="3831840"/>
        <n v="3640200"/>
        <n v="3516284"/>
        <n v="3113160"/>
        <n v="3100000"/>
        <n v="2816760"/>
        <n v="2750000"/>
        <n v="2651040"/>
        <n v="2545320"/>
        <n v="2303040"/>
        <n v="2252040"/>
        <n v="2100000"/>
        <n v="2063280"/>
        <n v="1977011"/>
        <n v="1936440"/>
        <n v="1717981"/>
        <n v="1588231"/>
        <n v="1289846"/>
        <n v="358295"/>
        <n v="255294"/>
        <n v="250000"/>
        <n v="19804"/>
        <n v="11898"/>
        <n v="21000000"/>
        <n v="19610714"/>
        <n v="16203704"/>
        <n v="13013700"/>
        <n v="12600000"/>
        <n v="9590602"/>
        <n v="9000000"/>
        <n v="7682927"/>
        <n v="7500000"/>
        <n v="6666667"/>
        <n v="5686677"/>
        <n v="5635000"/>
        <n v="2193040"/>
        <n v="510589"/>
        <n v="214169"/>
        <n v="188696"/>
        <n v="31742000"/>
        <n v="30500000"/>
        <n v="28751775"/>
        <n v="26231111"/>
        <n v="23735118"/>
        <n v="21250000"/>
        <n v="20700000"/>
        <n v="13500000"/>
        <n v="13446428"/>
        <n v="12288697"/>
        <n v="12178571"/>
        <n v="11454048"/>
        <n v="10500000"/>
        <n v="10000000"/>
        <n v="9600000"/>
        <n v="8231760"/>
        <n v="7839960"/>
        <n v="7834449"/>
        <n v="6720720"/>
        <n v="6571800"/>
        <n v="6400920"/>
        <n v="6176578"/>
        <n v="6000000"/>
        <n v="5720000"/>
        <n v="5572680"/>
        <n v="5345687"/>
        <n v="5307120"/>
        <n v="5192307"/>
        <n v="4991880"/>
        <n v="4938272"/>
        <n v="4767000"/>
        <n v="4642800"/>
        <n v="3944013"/>
        <n v="3737520"/>
        <n v="3631200"/>
        <n v="3285120"/>
        <n v="3044160"/>
        <n v="2761920"/>
        <n v="2711280"/>
        <n v="2478840"/>
        <n v="2345640"/>
        <n v="2337145"/>
        <n v="2193480"/>
        <n v="2160000"/>
        <n v="2105520"/>
        <n v="2090040"/>
        <n v="1950600"/>
        <n v="1416852"/>
        <n v="1340333"/>
        <n v="163861"/>
        <n v="39608"/>
        <n v="24611"/>
      </sharedItems>
    </cacheField>
    <cacheField name="AstTovRatio" numFmtId="0">
      <sharedItems containsSemiMixedTypes="0" containsString="0" containsNumber="1" minValue="0" maxValue="9.666666666666666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0358680559" createdVersion="8" refreshedVersion="8" minRefreshableVersion="3" recordCount="513" xr:uid="{2DBEE3CB-F59B-C44E-97A7-BFC287B24221}">
  <cacheSource type="worksheet">
    <worksheetSource ref="K1:K514" sheet="Data"/>
  </cacheSource>
  <cacheFields count="1">
    <cacheField name="SalaryUSD" numFmtId="0">
      <sharedItems containsSemiMixedTypes="0" containsString="0" containsNumber="1" containsInteger="1" minValue="11898" maxValue="43006362" count="321">
        <n v="29592696"/>
        <n v="29542010"/>
        <n v="29467800"/>
        <n v="27525281"/>
        <n v="27500000"/>
        <n v="15000000"/>
        <n v="13015873"/>
        <n v="12888889"/>
        <n v="11080125"/>
        <n v="9562920"/>
        <n v="9258000"/>
        <n v="9250000"/>
        <n v="8730240"/>
        <n v="8101852"/>
        <n v="7257360"/>
        <n v="7000000"/>
        <n v="5105160"/>
        <n v="5005350"/>
        <n v="4464226"/>
        <n v="4100000"/>
        <n v="3500000"/>
        <n v="2564753"/>
        <n v="2283034"/>
        <n v="1977000"/>
        <n v="1620564"/>
        <n v="1517981"/>
        <n v="898310"/>
        <n v="700000"/>
        <n v="449155"/>
        <n v="26000000"/>
        <n v="24000000"/>
        <n v="5448840"/>
        <n v="5000000"/>
        <n v="4200000"/>
        <n v="3909902"/>
        <n v="3542060"/>
        <n v="3000000"/>
        <n v="2250000"/>
        <n v="1265372"/>
        <n v="1000000"/>
        <n v="794536"/>
        <n v="500000"/>
        <n v="237965"/>
        <n v="233095"/>
        <n v="221995"/>
        <n v="18000000"/>
        <n v="16000000"/>
        <n v="15415730"/>
        <n v="12697674"/>
        <n v="10375678"/>
        <n v="9400000"/>
        <n v="8333333"/>
        <n v="8000000"/>
        <n v="7529020"/>
        <n v="7300000"/>
        <n v="6750000"/>
        <n v="5969040"/>
        <n v="5813640"/>
        <n v="5115492"/>
        <n v="3623000"/>
        <n v="3121080"/>
        <n v="2957520"/>
        <n v="2029920"/>
        <n v="1882867"/>
        <n v="1663861"/>
        <n v="1442968"/>
        <n v="1350000"/>
        <n v="1087776"/>
        <n v="432890"/>
        <n v="35450412"/>
        <n v="34379100"/>
        <n v="32742000"/>
        <n v="27739975"/>
        <n v="27285000"/>
        <n v="22246956"/>
        <n v="22215909"/>
        <n v="17850000"/>
        <n v="14888721"/>
        <n v="14500000"/>
        <n v="14375000"/>
        <n v="13723214"/>
        <n v="13000000"/>
        <n v="12138345"/>
        <n v="11400000"/>
        <n v="10863637"/>
        <n v="10245480"/>
        <n v="9505100"/>
        <n v="8963640"/>
        <n v="8500000"/>
        <n v="8325000"/>
        <n v="7199760"/>
        <n v="6493000"/>
        <n v="5500000"/>
        <n v="4326825"/>
        <n v="4245720"/>
        <n v="4161000"/>
        <n v="4033440"/>
        <n v="4000000"/>
        <n v="3870370"/>
        <n v="3761085"/>
        <n v="3717000"/>
        <n v="3562178"/>
        <n v="3550800"/>
        <n v="3491159"/>
        <n v="3077704"/>
        <n v="2964840"/>
        <n v="2892000"/>
        <n v="2602920"/>
        <n v="2339160"/>
        <n v="2284800"/>
        <n v="2210640"/>
        <n v="2058240"/>
        <n v="2048040"/>
        <n v="2000000"/>
        <n v="1964760"/>
        <n v="1900000"/>
        <n v="1824003"/>
        <n v="1783557"/>
        <n v="1762796"/>
        <n v="1752950"/>
        <n v="1663361"/>
        <n v="1500000"/>
        <n v="1445697"/>
        <n v="1349383"/>
        <n v="1300000"/>
        <n v="754783"/>
        <n v="120000"/>
        <n v="28489237"/>
        <n v="18136364"/>
        <n v="17150000"/>
        <n v="16047100"/>
        <n v="12598243"/>
        <n v="12250000"/>
        <n v="10047450"/>
        <n v="9720900"/>
        <n v="7969537"/>
        <n v="4548280"/>
        <n v="4102564"/>
        <n v="3219480"/>
        <n v="2443440"/>
        <n v="1780152"/>
        <n v="1678854"/>
        <n v="776983"/>
        <n v="430729"/>
        <n v="396081"/>
        <n v="154433"/>
        <n v="49510"/>
        <n v="40108950"/>
        <n v="34358850"/>
        <n v="33051724"/>
        <n v="31258256"/>
        <n v="30559200"/>
        <n v="28500000"/>
        <n v="27528090"/>
        <n v="19800000"/>
        <n v="19500000"/>
        <n v="19050000"/>
        <n v="18900000"/>
        <n v="16071429"/>
        <n v="15365853"/>
        <n v="13545000"/>
        <n v="12800000"/>
        <n v="12500000"/>
        <n v="11709091"/>
        <n v="9897120"/>
        <n v="8840580"/>
        <n v="7422000"/>
        <n v="7333333"/>
        <n v="7068360"/>
        <n v="6731508"/>
        <n v="4862040"/>
        <n v="4692840"/>
        <n v="4588680"/>
        <n v="4469160"/>
        <n v="4458000"/>
        <n v="4137302"/>
        <n v="4023600"/>
        <n v="3934320"/>
        <n v="3872215"/>
        <n v="3804150"/>
        <n v="3458400"/>
        <n v="3449400"/>
        <n v="3300000"/>
        <n v="2689920"/>
        <n v="2582160"/>
        <n v="2498760"/>
        <n v="2137440"/>
        <n v="1737145"/>
        <n v="1701593"/>
        <n v="757453"/>
        <n v="654469"/>
        <n v="652366"/>
        <n v="609128"/>
        <n v="399591"/>
        <n v="321893"/>
        <n v="263501"/>
        <n v="160173"/>
        <n v="116903"/>
        <n v="43006362"/>
        <n v="41358814"/>
        <n v="41254920"/>
        <n v="39219565"/>
        <n v="34502130"/>
        <n v="31626953"/>
        <n v="29354152"/>
        <n v="28649250"/>
        <n v="24701834"/>
        <n v="18975000"/>
        <n v="17000000"/>
        <n v="16875000"/>
        <n v="16869276"/>
        <n v="14286000"/>
        <n v="13535714"/>
        <n v="13425895"/>
        <n v="13333333"/>
        <n v="12073020"/>
        <n v="11500000"/>
        <n v="11003782"/>
        <n v="10865952"/>
        <n v="9757440"/>
        <n v="9571712"/>
        <n v="9166800"/>
        <n v="8817143"/>
        <n v="8099627"/>
        <n v="8049360"/>
        <n v="6104280"/>
        <n v="5273826"/>
        <n v="5195501"/>
        <n v="4141320"/>
        <n v="3925000"/>
        <n v="3831840"/>
        <n v="3640200"/>
        <n v="3516284"/>
        <n v="3113160"/>
        <n v="3100000"/>
        <n v="2816760"/>
        <n v="2750000"/>
        <n v="2651040"/>
        <n v="2545320"/>
        <n v="2303040"/>
        <n v="2252040"/>
        <n v="2100000"/>
        <n v="2063280"/>
        <n v="1977011"/>
        <n v="1936440"/>
        <n v="1717981"/>
        <n v="1588231"/>
        <n v="1289846"/>
        <n v="358295"/>
        <n v="255294"/>
        <n v="250000"/>
        <n v="19804"/>
        <n v="11898"/>
        <n v="21000000"/>
        <n v="19610714"/>
        <n v="16203704"/>
        <n v="13013700"/>
        <n v="12600000"/>
        <n v="9590602"/>
        <n v="9000000"/>
        <n v="7682927"/>
        <n v="7500000"/>
        <n v="6666667"/>
        <n v="5686677"/>
        <n v="5635000"/>
        <n v="2193040"/>
        <n v="510589"/>
        <n v="214169"/>
        <n v="188696"/>
        <n v="31742000"/>
        <n v="30500000"/>
        <n v="28751775"/>
        <n v="26231111"/>
        <n v="23735118"/>
        <n v="21250000"/>
        <n v="20700000"/>
        <n v="13500000"/>
        <n v="13446428"/>
        <n v="12288697"/>
        <n v="12178571"/>
        <n v="11454048"/>
        <n v="10500000"/>
        <n v="10000000"/>
        <n v="9600000"/>
        <n v="8231760"/>
        <n v="7839960"/>
        <n v="7834449"/>
        <n v="6720720"/>
        <n v="6571800"/>
        <n v="6400920"/>
        <n v="6176578"/>
        <n v="6000000"/>
        <n v="5720000"/>
        <n v="5572680"/>
        <n v="5345687"/>
        <n v="5307120"/>
        <n v="5192307"/>
        <n v="4991880"/>
        <n v="4938272"/>
        <n v="4767000"/>
        <n v="4642800"/>
        <n v="3944013"/>
        <n v="3737520"/>
        <n v="3631200"/>
        <n v="3285120"/>
        <n v="3044160"/>
        <n v="2761920"/>
        <n v="2711280"/>
        <n v="2478840"/>
        <n v="2345640"/>
        <n v="2337145"/>
        <n v="2193480"/>
        <n v="2160000"/>
        <n v="2105520"/>
        <n v="2090040"/>
        <n v="1950600"/>
        <n v="1416852"/>
        <n v="1340333"/>
        <n v="163861"/>
        <n v="39608"/>
        <n v="24611"/>
      </sharedItems>
      <fieldGroup base="0">
        <rangePr autoStart="0" autoEnd="0" startNum="0" endNum="44000000" groupInterval="5000000"/>
        <groupItems count="11">
          <s v="&lt;0"/>
          <s v="0-4999999"/>
          <s v="5000000-9999999"/>
          <s v="10000000-14999999"/>
          <s v="15000000-19999999"/>
          <s v="20000000-24999999"/>
          <s v="25000000-29999999"/>
          <s v="30000000-34999999"/>
          <s v="35000000-39999999"/>
          <s v="40000000-44999999"/>
          <s v="&gt;45000000"/>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5241666663" createdVersion="8" refreshedVersion="8" minRefreshableVersion="3" recordCount="514" xr:uid="{B39DF58F-9D3F-204C-9DE4-236E230FCD69}">
  <cacheSource type="worksheet">
    <worksheetSource ref="C1:C1048576" sheet="Data"/>
  </cacheSource>
  <cacheFields count="1">
    <cacheField name="Conf" numFmtId="0">
      <sharedItems containsBlank="1" count="4">
        <s v="West"/>
        <s v="Multiple Teams"/>
        <s v="East"/>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641446759" createdVersion="8" refreshedVersion="8" minRefreshableVersion="3" recordCount="512" xr:uid="{8804D046-6725-1D43-999E-CFBEB05D3F82}">
  <cacheSource type="worksheet">
    <worksheetSource ref="D2:D514" sheet="Data"/>
  </cacheSource>
  <cacheFields count="1">
    <cacheField name="Center" numFmtId="0">
      <sharedItems count="3">
        <s v="Center"/>
        <s v="Forward"/>
        <s v="Guard"/>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othstein" refreshedDate="46225.817715856479" createdVersion="8" refreshedVersion="8" minRefreshableVersion="3" recordCount="513" xr:uid="{A2ED06D4-9EC7-1E40-8A4E-15C2E100C970}">
  <cacheSource type="worksheet">
    <worksheetSource ref="D1:L514" sheet="Data"/>
  </cacheSource>
  <cacheFields count="9">
    <cacheField name="Pos" numFmtId="0">
      <sharedItems count="3">
        <s v="Center"/>
        <s v="Forward"/>
        <s v="Guard"/>
      </sharedItems>
    </cacheField>
    <cacheField name="eFG%" numFmtId="0">
      <sharedItems containsSemiMixedTypes="0" containsString="0" containsNumber="1" minValue="0" maxValue="1"/>
    </cacheField>
    <cacheField name="TRB" numFmtId="0">
      <sharedItems containsSemiMixedTypes="0" containsString="0" containsNumber="1" containsInteger="1" minValue="1" maxValue="960"/>
    </cacheField>
    <cacheField name="STL" numFmtId="0">
      <sharedItems containsSemiMixedTypes="0" containsString="0" containsNumber="1" containsInteger="1" minValue="0" maxValue="128"/>
    </cacheField>
    <cacheField name="BLK" numFmtId="0">
      <sharedItems containsSemiMixedTypes="0" containsString="0" containsNumber="1" containsInteger="1" minValue="0" maxValue="190"/>
    </cacheField>
    <cacheField name="PTS" numFmtId="0">
      <sharedItems containsSemiMixedTypes="0" containsString="0" containsNumber="1" containsInteger="1" minValue="0" maxValue="2015"/>
    </cacheField>
    <cacheField name="Player-additional" numFmtId="0">
      <sharedItems/>
    </cacheField>
    <cacheField name="SalaryUSD" numFmtId="0">
      <sharedItems containsSemiMixedTypes="0" containsString="0" containsNumber="1" containsInteger="1" minValue="11898" maxValue="43006362"/>
    </cacheField>
    <cacheField name="AstTovRatio" numFmtId="0">
      <sharedItems containsSemiMixedTypes="0" containsString="0" containsNumber="1" minValue="0" maxValue="9.66666666666666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3">
  <r>
    <s v="Steven Adams"/>
    <x v="0"/>
    <x v="0"/>
    <x v="0"/>
    <n v="0.61399999999999999"/>
    <n v="514"/>
    <n v="54"/>
    <n v="38"/>
    <n v="438"/>
    <s v="adamsst01"/>
    <x v="0"/>
    <n v="1.4230769230769231"/>
  </r>
  <r>
    <s v="Nikola Jokić"/>
    <x v="1"/>
    <x v="0"/>
    <x v="0"/>
    <n v="0.60199999999999998"/>
    <n v="780"/>
    <n v="95"/>
    <n v="48"/>
    <n v="1898"/>
    <s v="jokicni01"/>
    <x v="1"/>
    <n v="2.6981981981981984"/>
  </r>
  <r>
    <s v="Kristaps Porziņģis"/>
    <x v="1"/>
    <x v="0"/>
    <x v="0"/>
    <n v="0.54700000000000004"/>
    <n v="381"/>
    <n v="20"/>
    <n v="58"/>
    <n v="865"/>
    <s v="porzikr01"/>
    <x v="2"/>
    <n v="1.3333333333333333"/>
  </r>
  <r>
    <s v="Karl-Anthony Towns"/>
    <x v="1"/>
    <x v="0"/>
    <x v="0"/>
    <n v="0.55500000000000005"/>
    <n v="529"/>
    <n v="39"/>
    <n v="57"/>
    <n v="1239"/>
    <s v="townska01"/>
    <x v="2"/>
    <n v="1.40625"/>
  </r>
  <r>
    <s v="Rudy Gobert"/>
    <x v="2"/>
    <x v="0"/>
    <x v="0"/>
    <n v="0.67500000000000004"/>
    <n v="960"/>
    <n v="40"/>
    <n v="190"/>
    <n v="1015"/>
    <s v="goberru01"/>
    <x v="3"/>
    <n v="0.75423728813559321"/>
  </r>
  <r>
    <s v="Al Horford"/>
    <x v="3"/>
    <x v="0"/>
    <x v="0"/>
    <n v="0.52800000000000002"/>
    <n v="188"/>
    <n v="25"/>
    <n v="26"/>
    <n v="398"/>
    <s v="horfoal01"/>
    <x v="4"/>
    <n v="3.2413793103448274"/>
  </r>
  <r>
    <s v="Jonas Valančiūnas"/>
    <x v="2"/>
    <x v="0"/>
    <x v="0"/>
    <n v="0.60599999999999998"/>
    <n v="776"/>
    <n v="35"/>
    <n v="57"/>
    <n v="1058"/>
    <s v="valanjo01"/>
    <x v="5"/>
    <n v="1.1200000000000001"/>
  </r>
  <r>
    <s v="Christian Wood"/>
    <x v="1"/>
    <x v="0"/>
    <x v="0"/>
    <n v="0.57399999999999995"/>
    <n v="395"/>
    <n v="34"/>
    <n v="48"/>
    <n v="860"/>
    <s v="woodch01"/>
    <x v="6"/>
    <n v="0.88749999999999996"/>
  </r>
  <r>
    <s v="Jusuf Nurkić"/>
    <x v="4"/>
    <x v="0"/>
    <x v="0"/>
    <n v="0.53200000000000003"/>
    <n v="332"/>
    <n v="38"/>
    <n v="39"/>
    <n v="424"/>
    <s v="nurkiju01"/>
    <x v="7"/>
    <n v="1.7123287671232876"/>
  </r>
  <r>
    <s v="Dwight Powell"/>
    <x v="5"/>
    <x v="0"/>
    <x v="0"/>
    <n v="0.63100000000000001"/>
    <n v="234"/>
    <n v="36"/>
    <n v="30"/>
    <n v="342"/>
    <s v="poweldw01"/>
    <x v="8"/>
    <n v="1.575"/>
  </r>
  <r>
    <s v="Deandre Ayton"/>
    <x v="6"/>
    <x v="0"/>
    <x v="0"/>
    <n v="0.629"/>
    <n v="727"/>
    <n v="41"/>
    <n v="81"/>
    <n v="997"/>
    <s v="aytonde01"/>
    <x v="9"/>
    <n v="0.96116504854368934"/>
  </r>
  <r>
    <s v="Derrick Favors"/>
    <x v="5"/>
    <x v="0"/>
    <x v="0"/>
    <n v="0.63800000000000001"/>
    <n v="376"/>
    <n v="32"/>
    <n v="68"/>
    <n v="369"/>
    <s v="favorde01"/>
    <x v="10"/>
    <n v="1.2222222222222223"/>
  </r>
  <r>
    <s v="Serge Ibaka"/>
    <x v="7"/>
    <x v="0"/>
    <x v="0"/>
    <n v="0.56299999999999994"/>
    <n v="275"/>
    <n v="9"/>
    <n v="47"/>
    <n v="454"/>
    <s v="ibakase01"/>
    <x v="10"/>
    <n v="1.6818181818181819"/>
  </r>
  <r>
    <s v="Montrezl Harrell"/>
    <x v="0"/>
    <x v="0"/>
    <x v="0"/>
    <n v="0.622"/>
    <n v="428"/>
    <n v="46"/>
    <n v="49"/>
    <n v="931"/>
    <s v="harremo01"/>
    <x v="10"/>
    <n v="0.98648648648648651"/>
  </r>
  <r>
    <s v="Dario Šarić"/>
    <x v="4"/>
    <x v="0"/>
    <x v="0"/>
    <n v="0.51600000000000001"/>
    <n v="190"/>
    <n v="30"/>
    <n v="4"/>
    <n v="437"/>
    <s v="saricda01"/>
    <x v="11"/>
    <n v="1.1403508771929824"/>
  </r>
  <r>
    <s v="James Wiseman"/>
    <x v="8"/>
    <x v="0"/>
    <x v="0"/>
    <n v="0.53500000000000003"/>
    <n v="226"/>
    <n v="11"/>
    <n v="36"/>
    <n v="448"/>
    <s v="wisemja01"/>
    <x v="12"/>
    <n v="0.43333333333333335"/>
  </r>
  <r>
    <s v="Jakob Poeltl"/>
    <x v="1"/>
    <x v="0"/>
    <x v="0"/>
    <n v="0.61599999999999999"/>
    <n v="547"/>
    <n v="47"/>
    <n v="123"/>
    <n v="593"/>
    <s v="poeltja01"/>
    <x v="13"/>
    <n v="1.6144578313253013"/>
  </r>
  <r>
    <s v="Jaren Jackson Jr."/>
    <x v="9"/>
    <x v="0"/>
    <x v="0"/>
    <n v="0.49199999999999999"/>
    <n v="62"/>
    <n v="12"/>
    <n v="18"/>
    <n v="158"/>
    <s v="jacksja02"/>
    <x v="14"/>
    <n v="0.8"/>
  </r>
  <r>
    <s v="Ivica Zubac"/>
    <x v="10"/>
    <x v="0"/>
    <x v="0"/>
    <n v="0.65400000000000003"/>
    <n v="519"/>
    <n v="24"/>
    <n v="62"/>
    <n v="650"/>
    <s v="zubaciv01"/>
    <x v="15"/>
    <n v="1.1111111111111112"/>
  </r>
  <r>
    <s v="Jaxson Hayes"/>
    <x v="11"/>
    <x v="0"/>
    <x v="0"/>
    <n v="0.63600000000000001"/>
    <n v="257"/>
    <n v="25"/>
    <n v="38"/>
    <n v="449"/>
    <s v="hayesja02"/>
    <x v="16"/>
    <n v="0.89743589743589747"/>
  </r>
  <r>
    <s v="Ed Davis"/>
    <x v="7"/>
    <x v="0"/>
    <x v="0"/>
    <n v="0.432"/>
    <n v="115"/>
    <n v="13"/>
    <n v="13"/>
    <n v="48"/>
    <s v="davised01"/>
    <x v="17"/>
    <n v="3"/>
  </r>
  <r>
    <s v="Richaun Holmes"/>
    <x v="0"/>
    <x v="0"/>
    <x v="0"/>
    <n v="0.63800000000000001"/>
    <n v="504"/>
    <n v="39"/>
    <n v="96"/>
    <n v="869"/>
    <s v="holmeri01"/>
    <x v="17"/>
    <n v="1.3466666666666667"/>
  </r>
  <r>
    <s v="Enes Freedom"/>
    <x v="2"/>
    <x v="0"/>
    <x v="0"/>
    <n v="0.60499999999999998"/>
    <n v="795"/>
    <n v="33"/>
    <n v="48"/>
    <n v="806"/>
    <s v="kanteen01"/>
    <x v="17"/>
    <n v="1.0769230769230769"/>
  </r>
  <r>
    <s v="Kevon Looney"/>
    <x v="12"/>
    <x v="0"/>
    <x v="0"/>
    <n v="0.55800000000000005"/>
    <n v="322"/>
    <n v="21"/>
    <n v="22"/>
    <n v="251"/>
    <s v="looneke01"/>
    <x v="18"/>
    <n v="3.2162162162162162"/>
  </r>
  <r>
    <s v="Willie Cauley-Stein"/>
    <x v="0"/>
    <x v="0"/>
    <x v="0"/>
    <n v="0.63500000000000001"/>
    <n v="236"/>
    <n v="21"/>
    <n v="43"/>
    <n v="280"/>
    <s v="caulewi01"/>
    <x v="19"/>
    <n v="1.2068965517241379"/>
  </r>
  <r>
    <s v="Boban Marjanović"/>
    <x v="13"/>
    <x v="0"/>
    <x v="0"/>
    <n v="0.51200000000000001"/>
    <n v="128"/>
    <n v="2"/>
    <n v="6"/>
    <n v="156"/>
    <s v="marjabo01"/>
    <x v="20"/>
    <n v="0.83333333333333337"/>
  </r>
  <r>
    <s v="Marc Gasol"/>
    <x v="14"/>
    <x v="0"/>
    <x v="0"/>
    <n v="0.58199999999999996"/>
    <n v="215"/>
    <n v="26"/>
    <n v="58"/>
    <n v="262"/>
    <s v="gasolma01"/>
    <x v="21"/>
    <n v="2.0566037735849059"/>
  </r>
  <r>
    <s v="Mike Muscala"/>
    <x v="5"/>
    <x v="0"/>
    <x v="0"/>
    <n v="0.57299999999999995"/>
    <n v="132"/>
    <n v="8"/>
    <n v="11"/>
    <n v="339"/>
    <s v="muscami01"/>
    <x v="22"/>
    <n v="1.3333333333333333"/>
  </r>
  <r>
    <s v="Udoka Azubuike"/>
    <x v="9"/>
    <x v="0"/>
    <x v="0"/>
    <n v="0.44400000000000001"/>
    <n v="13"/>
    <n v="1"/>
    <n v="4"/>
    <n v="16"/>
    <s v="azubuud01"/>
    <x v="23"/>
    <n v="0"/>
  </r>
  <r>
    <s v="Harry Giles"/>
    <x v="6"/>
    <x v="0"/>
    <x v="0"/>
    <n v="0.47399999999999998"/>
    <n v="133"/>
    <n v="8"/>
    <n v="13"/>
    <n v="108"/>
    <s v="gilesha01"/>
    <x v="24"/>
    <n v="1.45"/>
  </r>
  <r>
    <s v="Frank Kaminsky"/>
    <x v="0"/>
    <x v="0"/>
    <x v="0"/>
    <n v="0.53100000000000003"/>
    <n v="188"/>
    <n v="14"/>
    <n v="17"/>
    <n v="310"/>
    <s v="kaminfr01"/>
    <x v="24"/>
    <n v="3.5909090909090908"/>
  </r>
  <r>
    <s v="Willy Hernangómez"/>
    <x v="4"/>
    <x v="0"/>
    <x v="0"/>
    <n v="0.56499999999999995"/>
    <n v="334"/>
    <n v="22"/>
    <n v="23"/>
    <n v="365"/>
    <s v="hernawi01"/>
    <x v="24"/>
    <n v="1.4705882352941178"/>
  </r>
  <r>
    <s v="Hassan Whiteside"/>
    <x v="7"/>
    <x v="0"/>
    <x v="0"/>
    <n v="0.56299999999999994"/>
    <n v="215"/>
    <n v="9"/>
    <n v="46"/>
    <n v="293"/>
    <s v="whiteha01"/>
    <x v="24"/>
    <n v="0.5"/>
  </r>
  <r>
    <s v="Drew Eubanks"/>
    <x v="10"/>
    <x v="0"/>
    <x v="0"/>
    <n v="0.57099999999999995"/>
    <n v="241"/>
    <n v="18"/>
    <n v="49"/>
    <n v="311"/>
    <s v="eubandr01"/>
    <x v="24"/>
    <n v="0.93333333333333335"/>
  </r>
  <r>
    <s v="Naz Reid"/>
    <x v="9"/>
    <x v="0"/>
    <x v="0"/>
    <n v="0.57599999999999996"/>
    <n v="322"/>
    <n v="34"/>
    <n v="76"/>
    <n v="784"/>
    <s v="reidna01"/>
    <x v="25"/>
    <n v="1.0434782608695652"/>
  </r>
  <r>
    <s v="Daniel Oturu"/>
    <x v="9"/>
    <x v="0"/>
    <x v="0"/>
    <n v="0.433"/>
    <n v="48"/>
    <n v="4"/>
    <n v="7"/>
    <n v="54"/>
    <s v="oturuda01"/>
    <x v="26"/>
    <n v="1.1111111111111112"/>
  </r>
  <r>
    <s v="Chimezie Metu"/>
    <x v="10"/>
    <x v="0"/>
    <x v="0"/>
    <n v="0.54500000000000004"/>
    <n v="112"/>
    <n v="14"/>
    <n v="18"/>
    <n v="226"/>
    <s v="metuch01"/>
    <x v="27"/>
    <n v="0.96551724137931039"/>
  </r>
  <r>
    <s v="Killian Tillie"/>
    <x v="6"/>
    <x v="0"/>
    <x v="0"/>
    <n v="0.42099999999999999"/>
    <n v="24"/>
    <n v="5"/>
    <n v="8"/>
    <n v="57"/>
    <s v="tilliki02"/>
    <x v="28"/>
    <n v="4"/>
  </r>
  <r>
    <s v="Moses Brown"/>
    <x v="9"/>
    <x v="0"/>
    <x v="0"/>
    <n v="0.54500000000000004"/>
    <n v="383"/>
    <n v="31"/>
    <n v="47"/>
    <n v="370"/>
    <s v="brownmo01"/>
    <x v="28"/>
    <n v="0.23255813953488372"/>
  </r>
  <r>
    <s v="Nikola Vučević"/>
    <x v="15"/>
    <x v="1"/>
    <x v="0"/>
    <n v="0.54"/>
    <n v="817"/>
    <n v="65"/>
    <n v="48"/>
    <n v="1639"/>
    <s v="vucevni01"/>
    <x v="29"/>
    <n v="2.1349206349206349"/>
  </r>
  <r>
    <s v="LaMarcus Aldridge"/>
    <x v="16"/>
    <x v="1"/>
    <x v="0"/>
    <n v="0.52500000000000002"/>
    <n v="118"/>
    <n v="11"/>
    <n v="29"/>
    <n v="352"/>
    <s v="aldrila01"/>
    <x v="30"/>
    <n v="1.8148148148148149"/>
  </r>
  <r>
    <s v="Wendell Carter Jr."/>
    <x v="9"/>
    <x v="1"/>
    <x v="0"/>
    <n v="0.52"/>
    <n v="443"/>
    <n v="35"/>
    <n v="42"/>
    <n v="606"/>
    <s v="cartewe01"/>
    <x v="31"/>
    <n v="1.3333333333333333"/>
  </r>
  <r>
    <s v="Daniel Theis"/>
    <x v="2"/>
    <x v="1"/>
    <x v="0"/>
    <n v="0.59299999999999997"/>
    <n v="356"/>
    <n v="41"/>
    <n v="57"/>
    <n v="627"/>
    <s v="theisda01"/>
    <x v="32"/>
    <n v="1.6363636363636365"/>
  </r>
  <r>
    <s v="JaVale McGee"/>
    <x v="17"/>
    <x v="1"/>
    <x v="0"/>
    <n v="0.52"/>
    <n v="239"/>
    <n v="19"/>
    <n v="54"/>
    <n v="337"/>
    <s v="mcgeeja01"/>
    <x v="33"/>
    <n v="0.65"/>
  </r>
  <r>
    <s v="Jarrett Allen"/>
    <x v="6"/>
    <x v="1"/>
    <x v="0"/>
    <n v="0.624"/>
    <n v="631"/>
    <n v="32"/>
    <n v="90"/>
    <n v="806"/>
    <s v="allenja01"/>
    <x v="34"/>
    <n v="1.06"/>
  </r>
  <r>
    <s v="Tony Bradley"/>
    <x v="10"/>
    <x v="1"/>
    <x v="0"/>
    <n v="0.66500000000000004"/>
    <n v="239"/>
    <n v="15"/>
    <n v="30"/>
    <n v="300"/>
    <s v="bradlto01"/>
    <x v="35"/>
    <n v="1.1212121212121211"/>
  </r>
  <r>
    <s v="Khem Birch"/>
    <x v="2"/>
    <x v="1"/>
    <x v="0"/>
    <n v="0.51400000000000001"/>
    <n v="387"/>
    <n v="48"/>
    <n v="50"/>
    <n v="482"/>
    <s v="birchkh01"/>
    <x v="36"/>
    <n v="2.0227272727272729"/>
  </r>
  <r>
    <s v="Luke Kornet"/>
    <x v="1"/>
    <x v="1"/>
    <x v="0"/>
    <n v="0.51"/>
    <n v="67"/>
    <n v="4"/>
    <n v="32"/>
    <n v="106"/>
    <s v="kornelu01"/>
    <x v="37"/>
    <n v="3.4285714285714284"/>
  </r>
  <r>
    <s v="Isaiah Hartenstein"/>
    <x v="6"/>
    <x v="1"/>
    <x v="0"/>
    <n v="0.55600000000000005"/>
    <n v="181"/>
    <n v="19"/>
    <n v="39"/>
    <n v="236"/>
    <s v="harteis01"/>
    <x v="24"/>
    <n v="1.25"/>
  </r>
  <r>
    <s v="Daniel Gafford"/>
    <x v="6"/>
    <x v="1"/>
    <x v="0"/>
    <n v="0.68400000000000005"/>
    <n v="231"/>
    <n v="26"/>
    <n v="75"/>
    <n v="380"/>
    <s v="gaffoda01"/>
    <x v="25"/>
    <n v="0.70731707317073167"/>
  </r>
  <r>
    <s v="Alex Len"/>
    <x v="0"/>
    <x v="1"/>
    <x v="0"/>
    <n v="0.629"/>
    <n v="260"/>
    <n v="20"/>
    <n v="64"/>
    <n v="423"/>
    <s v="lenal01"/>
    <x v="38"/>
    <n v="0.89090909090909087"/>
  </r>
  <r>
    <s v="Gorgui Dieng"/>
    <x v="7"/>
    <x v="1"/>
    <x v="0"/>
    <n v="0.61299999999999999"/>
    <n v="140"/>
    <n v="26"/>
    <n v="16"/>
    <n v="258"/>
    <s v="dienggo01"/>
    <x v="39"/>
    <n v="1.5"/>
  </r>
  <r>
    <s v="Andre Drummond"/>
    <x v="0"/>
    <x v="1"/>
    <x v="0"/>
    <n v="0.49299999999999999"/>
    <n v="551"/>
    <n v="63"/>
    <n v="49"/>
    <n v="687"/>
    <s v="drumman01"/>
    <x v="40"/>
    <n v="0.75806451612903225"/>
  </r>
  <r>
    <s v="Norvel Pelle"/>
    <x v="0"/>
    <x v="1"/>
    <x v="0"/>
    <n v="0.53300000000000003"/>
    <n v="19"/>
    <n v="1"/>
    <n v="9"/>
    <n v="20"/>
    <s v="pelleno01"/>
    <x v="41"/>
    <n v="0.66666666666666663"/>
  </r>
  <r>
    <s v="Jordan Bell"/>
    <x v="4"/>
    <x v="1"/>
    <x v="0"/>
    <n v="0.318"/>
    <n v="24"/>
    <n v="3"/>
    <n v="5"/>
    <n v="15"/>
    <s v="belljo01"/>
    <x v="28"/>
    <n v="1.75"/>
  </r>
  <r>
    <s v="Damian Jones"/>
    <x v="1"/>
    <x v="1"/>
    <x v="0"/>
    <n v="0.68400000000000005"/>
    <n v="121"/>
    <n v="11"/>
    <n v="29"/>
    <n v="183"/>
    <s v="jonesda03"/>
    <x v="42"/>
    <n v="1.1153846153846154"/>
  </r>
  <r>
    <s v="DeMarcus Cousins"/>
    <x v="15"/>
    <x v="1"/>
    <x v="0"/>
    <n v="0.503"/>
    <n v="263"/>
    <n v="34"/>
    <n v="24"/>
    <n v="366"/>
    <s v="couside01"/>
    <x v="43"/>
    <n v="1.1875"/>
  </r>
  <r>
    <s v="Moritz Wagner"/>
    <x v="10"/>
    <x v="1"/>
    <x v="0"/>
    <n v="0.52200000000000002"/>
    <n v="146"/>
    <n v="26"/>
    <n v="18"/>
    <n v="310"/>
    <s v="wagnemo01"/>
    <x v="44"/>
    <n v="1.1627906976744187"/>
  </r>
  <r>
    <s v="Joel Embiid"/>
    <x v="4"/>
    <x v="2"/>
    <x v="0"/>
    <n v="0.54500000000000004"/>
    <n v="539"/>
    <n v="50"/>
    <n v="69"/>
    <n v="1451"/>
    <s v="embiijo01"/>
    <x v="1"/>
    <n v="0.91194968553459121"/>
  </r>
  <r>
    <s v="Myles Turner"/>
    <x v="12"/>
    <x v="2"/>
    <x v="0"/>
    <n v="0.55700000000000005"/>
    <n v="306"/>
    <n v="40"/>
    <n v="159"/>
    <n v="592"/>
    <s v="turnemy01"/>
    <x v="45"/>
    <n v="0.71641791044776115"/>
  </r>
  <r>
    <s v="Clint Capela"/>
    <x v="4"/>
    <x v="2"/>
    <x v="0"/>
    <n v="0.59399999999999997"/>
    <n v="903"/>
    <n v="44"/>
    <n v="129"/>
    <n v="956"/>
    <s v="capelca01"/>
    <x v="46"/>
    <n v="0.67123287671232879"/>
  </r>
  <r>
    <s v="Cody Zeller"/>
    <x v="2"/>
    <x v="2"/>
    <x v="0"/>
    <n v="0.56499999999999995"/>
    <n v="328"/>
    <n v="27"/>
    <n v="17"/>
    <n v="451"/>
    <s v="zelleco01"/>
    <x v="47"/>
    <n v="1.6862745098039216"/>
  </r>
  <r>
    <s v="Brook Lopez"/>
    <x v="13"/>
    <x v="2"/>
    <x v="0"/>
    <n v="0.57699999999999996"/>
    <n v="347"/>
    <n v="40"/>
    <n v="103"/>
    <n v="859"/>
    <s v="lopezbr01"/>
    <x v="48"/>
    <n v="0.78125"/>
  </r>
  <r>
    <s v="DeAndre Jordan"/>
    <x v="13"/>
    <x v="2"/>
    <x v="0"/>
    <n v="0.76300000000000001"/>
    <n v="427"/>
    <n v="17"/>
    <n v="65"/>
    <n v="426"/>
    <s v="jordade01"/>
    <x v="49"/>
    <n v="1.0941176470588236"/>
  </r>
  <r>
    <s v="Meyers Leonard"/>
    <x v="2"/>
    <x v="2"/>
    <x v="0"/>
    <n v="0.64300000000000002"/>
    <n v="7"/>
    <n v="0"/>
    <n v="0"/>
    <n v="10"/>
    <s v="leoname01"/>
    <x v="50"/>
    <n v="1"/>
  </r>
  <r>
    <s v="Tristan Thompson"/>
    <x v="5"/>
    <x v="2"/>
    <x v="0"/>
    <n v="0.51800000000000002"/>
    <n v="439"/>
    <n v="24"/>
    <n v="33"/>
    <n v="409"/>
    <s v="thomptr01"/>
    <x v="10"/>
    <n v="1.0806451612903225"/>
  </r>
  <r>
    <s v="Thomas Bryant"/>
    <x v="10"/>
    <x v="2"/>
    <x v="0"/>
    <n v="0.69799999999999995"/>
    <n v="61"/>
    <n v="4"/>
    <n v="8"/>
    <n v="143"/>
    <s v="bryanth01"/>
    <x v="51"/>
    <n v="1.3636363636363635"/>
  </r>
  <r>
    <s v="Mason Plumlee"/>
    <x v="15"/>
    <x v="2"/>
    <x v="0"/>
    <n v="0.61399999999999999"/>
    <n v="519"/>
    <n v="43"/>
    <n v="50"/>
    <n v="581"/>
    <s v="plumlma01"/>
    <x v="52"/>
    <n v="1.9238095238095239"/>
  </r>
  <r>
    <s v="Cristiano Felício"/>
    <x v="2"/>
    <x v="2"/>
    <x v="0"/>
    <n v="0.53800000000000003"/>
    <n v="26"/>
    <n v="4"/>
    <n v="0"/>
    <n v="23"/>
    <s v="feliccr01"/>
    <x v="53"/>
    <n v="2.25"/>
  </r>
  <r>
    <s v="Robin Lopez"/>
    <x v="13"/>
    <x v="2"/>
    <x v="0"/>
    <n v="0.63900000000000001"/>
    <n v="272"/>
    <n v="15"/>
    <n v="44"/>
    <n v="642"/>
    <s v="lopezro01"/>
    <x v="54"/>
    <n v="0.73333333333333328"/>
  </r>
  <r>
    <s v="Aron Baynes"/>
    <x v="3"/>
    <x v="2"/>
    <x v="0"/>
    <n v="0.48499999999999999"/>
    <n v="273"/>
    <n v="17"/>
    <n v="22"/>
    <n v="324"/>
    <s v="baynear01"/>
    <x v="15"/>
    <n v="1.0217391304347827"/>
  </r>
  <r>
    <s v="Chris Boucher"/>
    <x v="2"/>
    <x v="2"/>
    <x v="0"/>
    <n v="0.59499999999999997"/>
    <n v="404"/>
    <n v="35"/>
    <n v="111"/>
    <n v="818"/>
    <s v="bouchch01"/>
    <x v="55"/>
    <n v="1.3695652173913044"/>
  </r>
  <r>
    <s v="Mo Bamba"/>
    <x v="6"/>
    <x v="2"/>
    <x v="0"/>
    <n v="0.53500000000000003"/>
    <n v="265"/>
    <n v="14"/>
    <n v="58"/>
    <n v="367"/>
    <s v="bambamo01"/>
    <x v="56"/>
    <n v="0.97222222222222221"/>
  </r>
  <r>
    <s v="Onyeka Okongwu"/>
    <x v="11"/>
    <x v="2"/>
    <x v="0"/>
    <n v="0.64400000000000002"/>
    <n v="163"/>
    <n v="23"/>
    <n v="33"/>
    <n v="228"/>
    <s v="okongon01"/>
    <x v="57"/>
    <n v="0.62068965517241381"/>
  </r>
  <r>
    <s v="Bam Adebayo"/>
    <x v="10"/>
    <x v="2"/>
    <x v="0"/>
    <n v="0.57099999999999995"/>
    <n v="573"/>
    <n v="75"/>
    <n v="66"/>
    <n v="1197"/>
    <s v="adebaba01"/>
    <x v="58"/>
    <n v="2.0473372781065087"/>
  </r>
  <r>
    <s v="Nerlens Noel"/>
    <x v="4"/>
    <x v="2"/>
    <x v="0"/>
    <n v="0.61399999999999999"/>
    <n v="408"/>
    <n v="70"/>
    <n v="141"/>
    <n v="324"/>
    <s v="noelne01"/>
    <x v="32"/>
    <n v="0.70769230769230773"/>
  </r>
  <r>
    <s v="Bobby Portis"/>
    <x v="1"/>
    <x v="2"/>
    <x v="0"/>
    <n v="0.58499999999999996"/>
    <n v="466"/>
    <n v="52"/>
    <n v="26"/>
    <n v="754"/>
    <s v="portibo01"/>
    <x v="59"/>
    <n v="1.2678571428571428"/>
  </r>
  <r>
    <s v="Bismack Biyombo"/>
    <x v="2"/>
    <x v="2"/>
    <x v="0"/>
    <n v="0.58699999999999997"/>
    <n v="347"/>
    <n v="17"/>
    <n v="74"/>
    <n v="331"/>
    <s v="biyombi01"/>
    <x v="20"/>
    <n v="1.1408450704225352"/>
  </r>
  <r>
    <s v="Isaiah Stewart"/>
    <x v="8"/>
    <x v="2"/>
    <x v="0"/>
    <n v="0.57799999999999996"/>
    <n v="453"/>
    <n v="39"/>
    <n v="86"/>
    <n v="537"/>
    <s v="stewais01"/>
    <x v="60"/>
    <n v="0.88059701492537312"/>
  </r>
  <r>
    <s v="Goga Bitadze"/>
    <x v="9"/>
    <x v="2"/>
    <x v="0"/>
    <n v="0.47899999999999998"/>
    <n v="150"/>
    <n v="9"/>
    <n v="60"/>
    <n v="231"/>
    <s v="bitadgo01"/>
    <x v="61"/>
    <n v="2.1764705882352939"/>
  </r>
  <r>
    <s v="Robert Williams"/>
    <x v="10"/>
    <x v="2"/>
    <x v="0"/>
    <n v="0.72099999999999997"/>
    <n v="358"/>
    <n v="43"/>
    <n v="91"/>
    <n v="417"/>
    <s v="williro04"/>
    <x v="62"/>
    <n v="1.8076923076923077"/>
  </r>
  <r>
    <s v="Jahlil Okafor"/>
    <x v="1"/>
    <x v="2"/>
    <x v="0"/>
    <n v="0.627"/>
    <n v="66"/>
    <n v="6"/>
    <n v="5"/>
    <n v="145"/>
    <s v="okafoja01"/>
    <x v="63"/>
    <n v="0.61904761904761907"/>
  </r>
  <r>
    <s v="Mitchell Robinson"/>
    <x v="6"/>
    <x v="2"/>
    <x v="0"/>
    <n v="0.65300000000000002"/>
    <n v="252"/>
    <n v="35"/>
    <n v="45"/>
    <n v="256"/>
    <s v="robinmi01"/>
    <x v="64"/>
    <n v="0.65384615384615385"/>
  </r>
  <r>
    <s v="Udonis Haslem"/>
    <x v="18"/>
    <x v="2"/>
    <x v="0"/>
    <n v="1"/>
    <n v="1"/>
    <n v="0"/>
    <n v="0"/>
    <n v="4"/>
    <s v="hasleud01"/>
    <x v="24"/>
    <n v="0"/>
  </r>
  <r>
    <s v="Thon Maker"/>
    <x v="10"/>
    <x v="2"/>
    <x v="0"/>
    <n v="0.55600000000000005"/>
    <n v="18"/>
    <n v="2"/>
    <n v="4"/>
    <n v="30"/>
    <s v="makerth01"/>
    <x v="24"/>
    <n v="1.3333333333333333"/>
  </r>
  <r>
    <s v="Dwight Howard"/>
    <x v="16"/>
    <x v="2"/>
    <x v="0"/>
    <n v="0.59599999999999997"/>
    <n v="580"/>
    <n v="30"/>
    <n v="62"/>
    <n v="482"/>
    <s v="howardw01"/>
    <x v="24"/>
    <n v="0.5446428571428571"/>
  </r>
  <r>
    <s v="Anžejs Pasečņiks"/>
    <x v="1"/>
    <x v="2"/>
    <x v="0"/>
    <n v="0"/>
    <n v="1"/>
    <n v="0"/>
    <n v="0"/>
    <n v="0"/>
    <s v="pasecan01"/>
    <x v="25"/>
    <n v="0.2"/>
  </r>
  <r>
    <s v="Nic Claxton"/>
    <x v="9"/>
    <x v="2"/>
    <x v="0"/>
    <n v="0.624"/>
    <n v="166"/>
    <n v="23"/>
    <n v="40"/>
    <n v="212"/>
    <s v="claxtni01"/>
    <x v="25"/>
    <n v="1.5555555555555556"/>
  </r>
  <r>
    <s v="Bruno Fernando"/>
    <x v="6"/>
    <x v="2"/>
    <x v="0"/>
    <n v="0.40899999999999997"/>
    <n v="78"/>
    <n v="4"/>
    <n v="3"/>
    <n v="51"/>
    <s v="fernabr01"/>
    <x v="25"/>
    <n v="0.47619047619047616"/>
  </r>
  <r>
    <s v="Taj Gibson"/>
    <x v="16"/>
    <x v="2"/>
    <x v="0"/>
    <n v="0.63600000000000001"/>
    <n v="250"/>
    <n v="31"/>
    <n v="49"/>
    <n v="241"/>
    <s v="gibsota01"/>
    <x v="65"/>
    <n v="1.6363636363636365"/>
  </r>
  <r>
    <s v="Vernon Carey Jr."/>
    <x v="8"/>
    <x v="2"/>
    <x v="0"/>
    <n v="0.51400000000000001"/>
    <n v="27"/>
    <n v="1"/>
    <n v="5"/>
    <n v="46"/>
    <s v="careyve01"/>
    <x v="66"/>
    <n v="0.4"/>
  </r>
  <r>
    <s v="Noah Vonleh"/>
    <x v="1"/>
    <x v="2"/>
    <x v="0"/>
    <n v="0"/>
    <n v="1"/>
    <n v="0"/>
    <n v="0"/>
    <n v="0"/>
    <s v="vonleno01"/>
    <x v="67"/>
    <n v="0.5"/>
  </r>
  <r>
    <s v="Amida Brimah"/>
    <x v="4"/>
    <x v="2"/>
    <x v="0"/>
    <n v="0.625"/>
    <n v="8"/>
    <n v="0"/>
    <n v="5"/>
    <n v="13"/>
    <s v="brimaam01"/>
    <x v="28"/>
    <n v="0.25"/>
  </r>
  <r>
    <s v="Tacko Fall"/>
    <x v="1"/>
    <x v="2"/>
    <x v="0"/>
    <n v="0.72399999999999998"/>
    <n v="52"/>
    <n v="1"/>
    <n v="20"/>
    <n v="47"/>
    <s v="fallta01"/>
    <x v="28"/>
    <n v="0.5"/>
  </r>
  <r>
    <s v="Dewayne Dedmon"/>
    <x v="7"/>
    <x v="2"/>
    <x v="0"/>
    <n v="0.71499999999999997"/>
    <n v="86"/>
    <n v="9"/>
    <n v="6"/>
    <n v="113"/>
    <s v="dedmode01"/>
    <x v="68"/>
    <n v="0.92307692307692313"/>
  </r>
  <r>
    <s v="Paul George"/>
    <x v="15"/>
    <x v="0"/>
    <x v="1"/>
    <n v="0.55700000000000005"/>
    <n v="359"/>
    <n v="62"/>
    <n v="24"/>
    <n v="1259"/>
    <s v="georgpa01"/>
    <x v="69"/>
    <n v="1.5642458100558658"/>
  </r>
  <r>
    <s v="Kawhi Leonard"/>
    <x v="5"/>
    <x v="0"/>
    <x v="1"/>
    <n v="0.56799999999999995"/>
    <n v="337"/>
    <n v="81"/>
    <n v="21"/>
    <n v="1292"/>
    <s v="leonaka01"/>
    <x v="70"/>
    <n v="2.5619047619047617"/>
  </r>
  <r>
    <s v="Anthony Davis"/>
    <x v="0"/>
    <x v="0"/>
    <x v="1"/>
    <n v="0.51200000000000001"/>
    <n v="286"/>
    <n v="45"/>
    <n v="59"/>
    <n v="786"/>
    <s v="davisan02"/>
    <x v="71"/>
    <n v="1.4864864864864864"/>
  </r>
  <r>
    <s v="Andrew Wiggins"/>
    <x v="1"/>
    <x v="0"/>
    <x v="1"/>
    <n v="0.54300000000000004"/>
    <n v="347"/>
    <n v="67"/>
    <n v="70"/>
    <n v="1320"/>
    <s v="wiggian01"/>
    <x v="1"/>
    <n v="1.3253968253968254"/>
  </r>
  <r>
    <s v="DeMar DeRozan"/>
    <x v="7"/>
    <x v="0"/>
    <x v="1"/>
    <n v="0.505"/>
    <n v="259"/>
    <n v="56"/>
    <n v="15"/>
    <n v="1316"/>
    <s v="derozde01"/>
    <x v="72"/>
    <n v="3.5462184873949578"/>
  </r>
  <r>
    <s v="Brandon Ingram"/>
    <x v="10"/>
    <x v="0"/>
    <x v="1"/>
    <n v="0.53100000000000003"/>
    <n v="299"/>
    <n v="42"/>
    <n v="36"/>
    <n v="1450"/>
    <s v="ingrabr01"/>
    <x v="73"/>
    <n v="1.9220779220779221"/>
  </r>
  <r>
    <s v="Draymond Green"/>
    <x v="15"/>
    <x v="0"/>
    <x v="1"/>
    <n v="0.49199999999999999"/>
    <n v="448"/>
    <n v="105"/>
    <n v="52"/>
    <n v="444"/>
    <s v="greendr01"/>
    <x v="74"/>
    <n v="2.9680851063829787"/>
  </r>
  <r>
    <s v="Harrison Barnes"/>
    <x v="2"/>
    <x v="0"/>
    <x v="1"/>
    <n v="0.57499999999999996"/>
    <n v="385"/>
    <n v="43"/>
    <n v="11"/>
    <n v="933"/>
    <s v="barneha02"/>
    <x v="75"/>
    <n v="2.161290322580645"/>
  </r>
  <r>
    <s v="Bojan Bogdanović"/>
    <x v="7"/>
    <x v="0"/>
    <x v="1"/>
    <n v="0.53600000000000003"/>
    <n v="281"/>
    <n v="45"/>
    <n v="4"/>
    <n v="1225"/>
    <s v="bogdabo02"/>
    <x v="76"/>
    <n v="1.0625"/>
  </r>
  <r>
    <s v="Marcus Morris"/>
    <x v="7"/>
    <x v="0"/>
    <x v="1"/>
    <n v="0.59199999999999997"/>
    <n v="234"/>
    <n v="34"/>
    <n v="15"/>
    <n v="765"/>
    <s v="morrima03"/>
    <x v="77"/>
    <n v="1.0175438596491229"/>
  </r>
  <r>
    <s v="Rudy Gay"/>
    <x v="3"/>
    <x v="0"/>
    <x v="1"/>
    <n v="0.505"/>
    <n v="303"/>
    <n v="45"/>
    <n v="40"/>
    <n v="716"/>
    <s v="gayru01"/>
    <x v="78"/>
    <n v="1.3538461538461539"/>
  </r>
  <r>
    <s v="Kelly Oubre Jr."/>
    <x v="1"/>
    <x v="0"/>
    <x v="1"/>
    <n v="0.501"/>
    <n v="329"/>
    <n v="57"/>
    <n v="42"/>
    <n v="849"/>
    <s v="oubreke01"/>
    <x v="79"/>
    <n v="1.0428571428571429"/>
  </r>
  <r>
    <s v="Will Barton"/>
    <x v="15"/>
    <x v="0"/>
    <x v="1"/>
    <n v="0.50700000000000001"/>
    <n v="226"/>
    <n v="50"/>
    <n v="23"/>
    <n v="711"/>
    <s v="bartowi01"/>
    <x v="80"/>
    <n v="1.8854166666666667"/>
  </r>
  <r>
    <s v="Justise Winslow"/>
    <x v="12"/>
    <x v="0"/>
    <x v="1"/>
    <n v="0.376"/>
    <n v="118"/>
    <n v="15"/>
    <n v="12"/>
    <n v="178"/>
    <s v="winslju01"/>
    <x v="81"/>
    <n v="1.3513513513513513"/>
  </r>
  <r>
    <s v="Robert Covington"/>
    <x v="15"/>
    <x v="0"/>
    <x v="1"/>
    <n v="0.53300000000000003"/>
    <n v="466"/>
    <n v="101"/>
    <n v="84"/>
    <n v="593"/>
    <s v="covinro01"/>
    <x v="82"/>
    <n v="1.828125"/>
  </r>
  <r>
    <s v="Dillon Brooks"/>
    <x v="1"/>
    <x v="0"/>
    <x v="1"/>
    <n v="0.48099999999999998"/>
    <n v="196"/>
    <n v="78"/>
    <n v="26"/>
    <n v="1151"/>
    <s v="brookdi01"/>
    <x v="83"/>
    <n v="1.319327731092437"/>
  </r>
  <r>
    <s v="Joe Ingles"/>
    <x v="17"/>
    <x v="0"/>
    <x v="1"/>
    <n v="0.65200000000000002"/>
    <n v="244"/>
    <n v="45"/>
    <n v="12"/>
    <n v="809"/>
    <s v="inglejo01"/>
    <x v="84"/>
    <n v="2.7179487179487181"/>
  </r>
  <r>
    <s v="Zion Williamson"/>
    <x v="11"/>
    <x v="0"/>
    <x v="1"/>
    <n v="0.61599999999999999"/>
    <n v="441"/>
    <n v="57"/>
    <n v="39"/>
    <n v="1647"/>
    <s v="willizi01"/>
    <x v="85"/>
    <n v="1.3532934131736527"/>
  </r>
  <r>
    <s v="Kyle Anderson"/>
    <x v="0"/>
    <x v="0"/>
    <x v="1"/>
    <n v="0.54"/>
    <n v="396"/>
    <n v="84"/>
    <n v="57"/>
    <n v="854"/>
    <s v="anderky01"/>
    <x v="86"/>
    <n v="2.9069767441860463"/>
  </r>
  <r>
    <s v="Derrick Jones Jr."/>
    <x v="10"/>
    <x v="0"/>
    <x v="1"/>
    <n v="0.55400000000000005"/>
    <n v="205"/>
    <n v="37"/>
    <n v="54"/>
    <n v="396"/>
    <s v="jonesde02"/>
    <x v="10"/>
    <n v="1.46875"/>
  </r>
  <r>
    <s v="Jae Crowder"/>
    <x v="15"/>
    <x v="0"/>
    <x v="1"/>
    <n v="0.55500000000000005"/>
    <n v="282"/>
    <n v="48"/>
    <n v="27"/>
    <n v="603"/>
    <s v="crowdja01"/>
    <x v="10"/>
    <n v="2.3090909090909091"/>
  </r>
  <r>
    <s v="Marvin Bagley III"/>
    <x v="9"/>
    <x v="0"/>
    <x v="1"/>
    <n v="0.54200000000000004"/>
    <n v="318"/>
    <n v="21"/>
    <n v="21"/>
    <n v="608"/>
    <s v="baglema01"/>
    <x v="87"/>
    <n v="0.72881355932203384"/>
  </r>
  <r>
    <s v="Royce O'Neale"/>
    <x v="0"/>
    <x v="0"/>
    <x v="1"/>
    <n v="0.57999999999999996"/>
    <n v="485"/>
    <n v="57"/>
    <n v="32"/>
    <n v="496"/>
    <s v="onealro01"/>
    <x v="88"/>
    <n v="2.1807228915662651"/>
  </r>
  <r>
    <s v="Maxi Kleber"/>
    <x v="5"/>
    <x v="0"/>
    <x v="1"/>
    <n v="0.57999999999999996"/>
    <n v="260"/>
    <n v="24"/>
    <n v="35"/>
    <n v="353"/>
    <s v="klebima01"/>
    <x v="89"/>
    <n v="2.2666666666666666"/>
  </r>
  <r>
    <s v="JaMychal Green"/>
    <x v="15"/>
    <x v="0"/>
    <x v="1"/>
    <n v="0.56799999999999995"/>
    <n v="277"/>
    <n v="26"/>
    <n v="22"/>
    <n v="471"/>
    <s v="greenja01"/>
    <x v="90"/>
    <n v="1"/>
  </r>
  <r>
    <s v="Darius Miller"/>
    <x v="15"/>
    <x v="0"/>
    <x v="1"/>
    <n v="0.63500000000000001"/>
    <n v="24"/>
    <n v="13"/>
    <n v="5"/>
    <n v="73"/>
    <s v="milleda01"/>
    <x v="15"/>
    <n v="2.625"/>
  </r>
  <r>
    <s v="Juancho Hernangómez"/>
    <x v="1"/>
    <x v="0"/>
    <x v="1"/>
    <n v="0.52700000000000002"/>
    <n v="205"/>
    <n v="19"/>
    <n v="7"/>
    <n v="375"/>
    <s v="hernaju01"/>
    <x v="91"/>
    <n v="1.2962962962962963"/>
  </r>
  <r>
    <s v="Trey Lyles"/>
    <x v="1"/>
    <x v="0"/>
    <x v="1"/>
    <n v="0.55600000000000005"/>
    <n v="86"/>
    <n v="6"/>
    <n v="1"/>
    <n v="115"/>
    <s v="lylestr01"/>
    <x v="92"/>
    <n v="2.3333333333333335"/>
  </r>
  <r>
    <s v="T.J. Leaf"/>
    <x v="10"/>
    <x v="0"/>
    <x v="1"/>
    <n v="0.5"/>
    <n v="5"/>
    <n v="2"/>
    <n v="1"/>
    <n v="12"/>
    <s v="leaftj01"/>
    <x v="93"/>
    <n v="0.5"/>
  </r>
  <r>
    <s v="Jalen Smith"/>
    <x v="11"/>
    <x v="0"/>
    <x v="1"/>
    <n v="0.48"/>
    <n v="37"/>
    <n v="1"/>
    <n v="5"/>
    <n v="53"/>
    <s v="smithja04"/>
    <x v="94"/>
    <n v="0.5714285714285714"/>
  </r>
  <r>
    <s v="Mikal Bridges"/>
    <x v="12"/>
    <x v="0"/>
    <x v="1"/>
    <n v="0.64300000000000002"/>
    <n v="309"/>
    <n v="76"/>
    <n v="63"/>
    <n v="970"/>
    <s v="bridgmi01"/>
    <x v="95"/>
    <n v="2.6666666666666665"/>
  </r>
  <r>
    <s v="Devin Vassell"/>
    <x v="11"/>
    <x v="0"/>
    <x v="1"/>
    <n v="0.49199999999999999"/>
    <n v="174"/>
    <n v="43"/>
    <n v="18"/>
    <n v="341"/>
    <s v="vassede01"/>
    <x v="96"/>
    <n v="2.5454545454545454"/>
  </r>
  <r>
    <s v="Cameron Johnson"/>
    <x v="12"/>
    <x v="0"/>
    <x v="1"/>
    <n v="0.54100000000000004"/>
    <n v="199"/>
    <n v="37"/>
    <n v="16"/>
    <n v="573"/>
    <s v="johnsca02"/>
    <x v="96"/>
    <n v="2.15"/>
  </r>
  <r>
    <s v="Dorian Finney-Smith"/>
    <x v="0"/>
    <x v="0"/>
    <x v="1"/>
    <n v="0.6"/>
    <n v="326"/>
    <n v="52"/>
    <n v="25"/>
    <n v="590"/>
    <s v="finnedo01"/>
    <x v="97"/>
    <n v="2.125"/>
  </r>
  <r>
    <s v="Gabriel Deck"/>
    <x v="1"/>
    <x v="0"/>
    <x v="1"/>
    <n v="0.49299999999999999"/>
    <n v="40"/>
    <n v="8"/>
    <n v="0"/>
    <n v="84"/>
    <s v="deckga01"/>
    <x v="98"/>
    <n v="4"/>
  </r>
  <r>
    <s v="Jake Layman"/>
    <x v="4"/>
    <x v="0"/>
    <x v="1"/>
    <n v="0.55700000000000005"/>
    <n v="67"/>
    <n v="29"/>
    <n v="19"/>
    <n v="231"/>
    <s v="laymaja01"/>
    <x v="99"/>
    <n v="1.0769230769230769"/>
  </r>
  <r>
    <s v="Danuel House Jr."/>
    <x v="0"/>
    <x v="0"/>
    <x v="1"/>
    <n v="0.504"/>
    <n v="132"/>
    <n v="20"/>
    <n v="16"/>
    <n v="315"/>
    <s v="houseda01"/>
    <x v="100"/>
    <n v="1.9166666666666667"/>
  </r>
  <r>
    <s v="Kyle Kuzma"/>
    <x v="1"/>
    <x v="0"/>
    <x v="1"/>
    <n v="0.53300000000000003"/>
    <n v="417"/>
    <n v="35"/>
    <n v="41"/>
    <n v="874"/>
    <s v="kuzmaky01"/>
    <x v="101"/>
    <n v="1.1238938053097345"/>
  </r>
  <r>
    <s v="Michael Porter Jr."/>
    <x v="6"/>
    <x v="0"/>
    <x v="1"/>
    <n v="0.64600000000000002"/>
    <n v="445"/>
    <n v="40"/>
    <n v="54"/>
    <n v="1162"/>
    <s v="portemi01"/>
    <x v="102"/>
    <n v="0.90909090909090906"/>
  </r>
  <r>
    <s v="Josh Hart"/>
    <x v="1"/>
    <x v="0"/>
    <x v="1"/>
    <n v="0.53100000000000003"/>
    <n v="377"/>
    <n v="38"/>
    <n v="12"/>
    <n v="434"/>
    <s v="hartjo01"/>
    <x v="103"/>
    <n v="2.2244897959183674"/>
  </r>
  <r>
    <s v="Patrick Patterson"/>
    <x v="7"/>
    <x v="0"/>
    <x v="1"/>
    <n v="0.55800000000000005"/>
    <n v="75"/>
    <n v="14"/>
    <n v="8"/>
    <n v="197"/>
    <s v="pattepa01"/>
    <x v="104"/>
    <n v="2.6363636363636362"/>
  </r>
  <r>
    <s v="Aleksej Pokusevski"/>
    <x v="8"/>
    <x v="0"/>
    <x v="1"/>
    <n v="0.41199999999999998"/>
    <n v="212"/>
    <n v="20"/>
    <n v="42"/>
    <n v="367"/>
    <s v="pokusal01"/>
    <x v="105"/>
    <n v="0.97979797979797978"/>
  </r>
  <r>
    <s v="Luka Šamanić"/>
    <x v="9"/>
    <x v="0"/>
    <x v="1"/>
    <n v="0.505"/>
    <n v="68"/>
    <n v="8"/>
    <n v="8"/>
    <n v="122"/>
    <s v="samanlu01"/>
    <x v="106"/>
    <n v="0.75"/>
  </r>
  <r>
    <s v="Brandon Clarke"/>
    <x v="12"/>
    <x v="0"/>
    <x v="1"/>
    <n v="0.53700000000000003"/>
    <n v="328"/>
    <n v="60"/>
    <n v="51"/>
    <n v="610"/>
    <s v="clarkbr01"/>
    <x v="107"/>
    <n v="2.8787878787878789"/>
  </r>
  <r>
    <s v="Darius Bazley"/>
    <x v="11"/>
    <x v="0"/>
    <x v="1"/>
    <n v="0.45600000000000002"/>
    <n v="396"/>
    <n v="29"/>
    <n v="25"/>
    <n v="754"/>
    <s v="bazleda01"/>
    <x v="108"/>
    <n v="0.81147540983606559"/>
  </r>
  <r>
    <s v="Zeke Nnaji"/>
    <x v="11"/>
    <x v="0"/>
    <x v="1"/>
    <n v="0.59599999999999997"/>
    <n v="65"/>
    <n v="8"/>
    <n v="4"/>
    <n v="136"/>
    <s v="nnajize01"/>
    <x v="109"/>
    <n v="1.4285714285714286"/>
  </r>
  <r>
    <s v="Nassir Little"/>
    <x v="11"/>
    <x v="0"/>
    <x v="1"/>
    <n v="0.55100000000000005"/>
    <n v="128"/>
    <n v="5"/>
    <n v="13"/>
    <n v="220"/>
    <s v="littlna01"/>
    <x v="110"/>
    <n v="1.2777777777777777"/>
  </r>
  <r>
    <s v="Bol Bol"/>
    <x v="9"/>
    <x v="0"/>
    <x v="1"/>
    <n v="0.50900000000000001"/>
    <n v="24"/>
    <n v="3"/>
    <n v="10"/>
    <n v="69"/>
    <s v="bolbo01"/>
    <x v="111"/>
    <n v="0.53846153846153844"/>
  </r>
  <r>
    <s v="Keldon Johnson"/>
    <x v="9"/>
    <x v="0"/>
    <x v="1"/>
    <n v="0.52200000000000002"/>
    <n v="412"/>
    <n v="40"/>
    <n v="24"/>
    <n v="881"/>
    <s v="johnske04"/>
    <x v="112"/>
    <n v="1.5512820512820513"/>
  </r>
  <r>
    <s v="Kenrich Williams"/>
    <x v="4"/>
    <x v="0"/>
    <x v="1"/>
    <n v="0.59599999999999997"/>
    <n v="273"/>
    <n v="55"/>
    <n v="17"/>
    <n v="526"/>
    <s v="willike04"/>
    <x v="113"/>
    <n v="2"/>
  </r>
  <r>
    <s v="Jaden McDaniels"/>
    <x v="11"/>
    <x v="0"/>
    <x v="1"/>
    <n v="0.54500000000000004"/>
    <n v="232"/>
    <n v="35"/>
    <n v="60"/>
    <n v="427"/>
    <s v="mcdanja02"/>
    <x v="114"/>
    <n v="1.5106382978723405"/>
  </r>
  <r>
    <s v="Jontay Porter"/>
    <x v="9"/>
    <x v="0"/>
    <x v="1"/>
    <n v="0.63300000000000001"/>
    <n v="14"/>
    <n v="3"/>
    <n v="1"/>
    <n v="22"/>
    <s v="portejo01"/>
    <x v="115"/>
    <n v="0.14285714285714285"/>
  </r>
  <r>
    <s v="Marquese Chriss"/>
    <x v="10"/>
    <x v="0"/>
    <x v="1"/>
    <n v="0.39300000000000002"/>
    <n v="13"/>
    <n v="0"/>
    <n v="2"/>
    <n v="13"/>
    <s v="chrisma01"/>
    <x v="116"/>
    <n v="1"/>
  </r>
  <r>
    <s v="David Nwaba"/>
    <x v="2"/>
    <x v="0"/>
    <x v="1"/>
    <n v="0.52500000000000002"/>
    <n v="118"/>
    <n v="30"/>
    <n v="21"/>
    <n v="276"/>
    <s v="nwabada01"/>
    <x v="116"/>
    <n v="1.8235294117647058"/>
  </r>
  <r>
    <s v="Georges Niang"/>
    <x v="0"/>
    <x v="0"/>
    <x v="1"/>
    <n v="0.59"/>
    <n v="176"/>
    <n v="25"/>
    <n v="8"/>
    <n v="500"/>
    <s v="niangge01"/>
    <x v="117"/>
    <n v="1.1568627450980393"/>
  </r>
  <r>
    <s v="Alfonzo McKinnie"/>
    <x v="2"/>
    <x v="0"/>
    <x v="1"/>
    <n v="0.60199999999999998"/>
    <n v="54"/>
    <n v="7"/>
    <n v="0"/>
    <n v="122"/>
    <s v="mckinal01"/>
    <x v="118"/>
    <n v="1.2"/>
  </r>
  <r>
    <s v="Abdel Nader"/>
    <x v="0"/>
    <x v="0"/>
    <x v="1"/>
    <n v="0.56899999999999995"/>
    <n v="62"/>
    <n v="10"/>
    <n v="9"/>
    <n v="160"/>
    <s v="naderab01"/>
    <x v="119"/>
    <n v="1"/>
  </r>
  <r>
    <s v="Keita Bates-Diop"/>
    <x v="1"/>
    <x v="0"/>
    <x v="1"/>
    <n v="0.48499999999999999"/>
    <n v="49"/>
    <n v="11"/>
    <n v="5"/>
    <n v="79"/>
    <s v="bateske01"/>
    <x v="64"/>
    <n v="1.7142857142857142"/>
  </r>
  <r>
    <s v="Jarred Vanderbilt"/>
    <x v="9"/>
    <x v="0"/>
    <x v="1"/>
    <n v="0.60799999999999998"/>
    <n v="368"/>
    <n v="64"/>
    <n v="46"/>
    <n v="344"/>
    <s v="vandeja01"/>
    <x v="120"/>
    <n v="1.4339622641509433"/>
  </r>
  <r>
    <s v="Jared Dudley"/>
    <x v="16"/>
    <x v="0"/>
    <x v="1"/>
    <n v="0.33300000000000002"/>
    <n v="21"/>
    <n v="1"/>
    <n v="1"/>
    <n v="6"/>
    <s v="dudleja01"/>
    <x v="24"/>
    <n v="2.5"/>
  </r>
  <r>
    <s v="Glenn Robinson III"/>
    <x v="0"/>
    <x v="0"/>
    <x v="1"/>
    <n v="0.505"/>
    <n v="45"/>
    <n v="4"/>
    <n v="3"/>
    <n v="121"/>
    <s v="robingl02"/>
    <x v="24"/>
    <n v="1.8181818181818181"/>
  </r>
  <r>
    <s v="Wenyen Gabriel"/>
    <x v="10"/>
    <x v="0"/>
    <x v="1"/>
    <n v="0.50800000000000001"/>
    <n v="54"/>
    <n v="9"/>
    <n v="8"/>
    <n v="72"/>
    <s v="gabriwe01"/>
    <x v="24"/>
    <n v="0.73333333333333328"/>
  </r>
  <r>
    <s v="Nicolas Batum"/>
    <x v="13"/>
    <x v="0"/>
    <x v="1"/>
    <n v="0.59699999999999998"/>
    <n v="316"/>
    <n v="69"/>
    <n v="37"/>
    <n v="540"/>
    <s v="batumni01"/>
    <x v="24"/>
    <n v="2.7924528301886791"/>
  </r>
  <r>
    <s v="Markieff Morris"/>
    <x v="7"/>
    <x v="0"/>
    <x v="1"/>
    <n v="0.49099999999999999"/>
    <n v="266"/>
    <n v="22"/>
    <n v="19"/>
    <n v="407"/>
    <s v="morrima02"/>
    <x v="24"/>
    <n v="1.3518518518518519"/>
  </r>
  <r>
    <s v="Carmelo Anthony"/>
    <x v="14"/>
    <x v="0"/>
    <x v="1"/>
    <n v="0.50600000000000001"/>
    <n v="214"/>
    <n v="46"/>
    <n v="38"/>
    <n v="924"/>
    <s v="anthoca01"/>
    <x v="24"/>
    <n v="1.7049180327868851"/>
  </r>
  <r>
    <s v="Kent Bazemore"/>
    <x v="7"/>
    <x v="0"/>
    <x v="1"/>
    <n v="0.54500000000000004"/>
    <n v="229"/>
    <n v="69"/>
    <n v="33"/>
    <n v="481"/>
    <s v="bazemke01"/>
    <x v="24"/>
    <n v="1.3170731707317074"/>
  </r>
  <r>
    <s v="Juwan Morgan"/>
    <x v="10"/>
    <x v="0"/>
    <x v="1"/>
    <n v="0.53300000000000003"/>
    <n v="28"/>
    <n v="4"/>
    <n v="1"/>
    <n v="35"/>
    <s v="morgaju01"/>
    <x v="25"/>
    <n v="2.25"/>
  </r>
  <r>
    <s v="Alen Smailagić"/>
    <x v="11"/>
    <x v="0"/>
    <x v="1"/>
    <n v="0.48099999999999998"/>
    <n v="16"/>
    <n v="3"/>
    <n v="5"/>
    <n v="28"/>
    <s v="smailal01"/>
    <x v="25"/>
    <n v="0.8"/>
  </r>
  <r>
    <s v="Vlatko Čančar"/>
    <x v="10"/>
    <x v="0"/>
    <x v="1"/>
    <n v="0.52100000000000002"/>
    <n v="50"/>
    <n v="11"/>
    <n v="2"/>
    <n v="85"/>
    <s v="cancavl01"/>
    <x v="25"/>
    <n v="1"/>
  </r>
  <r>
    <s v="Justin James"/>
    <x v="12"/>
    <x v="0"/>
    <x v="1"/>
    <n v="0.53200000000000003"/>
    <n v="30"/>
    <n v="8"/>
    <n v="3"/>
    <n v="139"/>
    <s v="jamesju01"/>
    <x v="25"/>
    <n v="1.4666666666666666"/>
  </r>
  <r>
    <s v="Eric Paschall"/>
    <x v="12"/>
    <x v="0"/>
    <x v="1"/>
    <n v="0.52700000000000002"/>
    <n v="128"/>
    <n v="12"/>
    <n v="7"/>
    <n v="381"/>
    <s v="pascher01"/>
    <x v="25"/>
    <n v="1.1860465116279071"/>
  </r>
  <r>
    <s v="Isaiah Roby"/>
    <x v="6"/>
    <x v="0"/>
    <x v="1"/>
    <n v="0.52"/>
    <n v="341"/>
    <n v="52"/>
    <n v="37"/>
    <n v="533"/>
    <s v="robyis01"/>
    <x v="25"/>
    <n v="0.94690265486725667"/>
  </r>
  <r>
    <s v="Robert Woodard II"/>
    <x v="9"/>
    <x v="0"/>
    <x v="1"/>
    <n v="0.42499999999999999"/>
    <n v="16"/>
    <n v="0"/>
    <n v="3"/>
    <n v="20"/>
    <s v="woodaro01"/>
    <x v="121"/>
    <n v="2"/>
  </r>
  <r>
    <s v="Jae'Sean Tate"/>
    <x v="1"/>
    <x v="0"/>
    <x v="1"/>
    <n v="0.55400000000000005"/>
    <n v="374"/>
    <n v="85"/>
    <n v="36"/>
    <n v="794"/>
    <s v="tateja01"/>
    <x v="122"/>
    <n v="1.8163265306122449"/>
  </r>
  <r>
    <s v="James Nunnally"/>
    <x v="15"/>
    <x v="0"/>
    <x v="1"/>
    <n v="0.53800000000000003"/>
    <n v="9"/>
    <n v="0"/>
    <n v="0"/>
    <n v="15"/>
    <s v="nunnaja01"/>
    <x v="123"/>
    <n v="1.5"/>
  </r>
  <r>
    <s v="Xavier Tillman Sr."/>
    <x v="6"/>
    <x v="0"/>
    <x v="1"/>
    <n v="0.59499999999999997"/>
    <n v="256"/>
    <n v="44"/>
    <n v="33"/>
    <n v="390"/>
    <s v="tillmxa01"/>
    <x v="124"/>
    <n v="1.6666666666666667"/>
  </r>
  <r>
    <s v="Paul Millsap"/>
    <x v="16"/>
    <x v="0"/>
    <x v="1"/>
    <n v="0.53700000000000003"/>
    <n v="262"/>
    <n v="51"/>
    <n v="36"/>
    <n v="502"/>
    <s v="millspa01"/>
    <x v="39"/>
    <n v="1.9215686274509804"/>
  </r>
  <r>
    <s v="CJ Elleby"/>
    <x v="11"/>
    <x v="0"/>
    <x v="1"/>
    <n v="0.432"/>
    <n v="32"/>
    <n v="6"/>
    <n v="3"/>
    <n v="68"/>
    <s v="ellebcj01"/>
    <x v="26"/>
    <n v="2"/>
  </r>
  <r>
    <s v="Elijah Hughes"/>
    <x v="6"/>
    <x v="0"/>
    <x v="1"/>
    <n v="0.46700000000000003"/>
    <n v="9"/>
    <n v="1"/>
    <n v="1"/>
    <n v="31"/>
    <s v="hugheel01"/>
    <x v="26"/>
    <n v="1"/>
  </r>
  <r>
    <s v="KJ Martin"/>
    <x v="11"/>
    <x v="0"/>
    <x v="1"/>
    <n v="0.56399999999999995"/>
    <n v="242"/>
    <n v="30"/>
    <n v="41"/>
    <n v="419"/>
    <s v="martike04"/>
    <x v="26"/>
    <n v="1.263157894736842"/>
  </r>
  <r>
    <s v="Ersan İlyasova"/>
    <x v="17"/>
    <x v="0"/>
    <x v="1"/>
    <n v="0.55600000000000005"/>
    <n v="29"/>
    <n v="10"/>
    <n v="3"/>
    <n v="65"/>
    <s v="ilyaser01"/>
    <x v="125"/>
    <n v="0.5"/>
  </r>
  <r>
    <s v="Tyler Bey"/>
    <x v="6"/>
    <x v="0"/>
    <x v="1"/>
    <n v="0.34100000000000003"/>
    <n v="19"/>
    <n v="0"/>
    <n v="1"/>
    <n v="18"/>
    <s v="beyty01"/>
    <x v="28"/>
    <n v="1"/>
  </r>
  <r>
    <s v="Sean McDermott"/>
    <x v="12"/>
    <x v="0"/>
    <x v="1"/>
    <n v="0.47"/>
    <n v="19"/>
    <n v="2"/>
    <n v="3"/>
    <n v="39"/>
    <s v="mcderse01"/>
    <x v="28"/>
    <n v="1"/>
  </r>
  <r>
    <s v="Louis King"/>
    <x v="9"/>
    <x v="0"/>
    <x v="1"/>
    <n v="0.55900000000000005"/>
    <n v="18"/>
    <n v="7"/>
    <n v="3"/>
    <n v="44"/>
    <s v="kinglo02"/>
    <x v="28"/>
    <n v="2.25"/>
  </r>
  <r>
    <s v="Keljin Blevins"/>
    <x v="1"/>
    <x v="0"/>
    <x v="1"/>
    <n v="0.3"/>
    <n v="10"/>
    <n v="2"/>
    <n v="0"/>
    <n v="12"/>
    <s v="blevike01"/>
    <x v="28"/>
    <n v="0.8"/>
  </r>
  <r>
    <s v="Devontae Cacok"/>
    <x v="12"/>
    <x v="0"/>
    <x v="1"/>
    <n v="0.58599999999999997"/>
    <n v="32"/>
    <n v="5"/>
    <n v="4"/>
    <n v="39"/>
    <s v="cacokde01"/>
    <x v="28"/>
    <n v="0.2"/>
  </r>
  <r>
    <s v="Jarrell Brantley"/>
    <x v="12"/>
    <x v="0"/>
    <x v="1"/>
    <n v="0.59599999999999997"/>
    <n v="27"/>
    <n v="7"/>
    <n v="2"/>
    <n v="64"/>
    <s v="brantja01"/>
    <x v="28"/>
    <n v="1.875"/>
  </r>
  <r>
    <s v="Kostas Antetokounmpo"/>
    <x v="10"/>
    <x v="0"/>
    <x v="1"/>
    <n v="0.3"/>
    <n v="19"/>
    <n v="2"/>
    <n v="4"/>
    <n v="12"/>
    <s v="antetko01"/>
    <x v="28"/>
    <n v="9.0909090909090912E-2"/>
  </r>
  <r>
    <s v="Jaylen Hoard"/>
    <x v="9"/>
    <x v="0"/>
    <x v="1"/>
    <n v="0.5"/>
    <n v="65"/>
    <n v="13"/>
    <n v="5"/>
    <n v="116"/>
    <s v="hoardja01"/>
    <x v="28"/>
    <n v="1.411764705882353"/>
  </r>
  <r>
    <s v="Anthony Lamb"/>
    <x v="10"/>
    <x v="0"/>
    <x v="1"/>
    <n v="0.48699999999999999"/>
    <n v="70"/>
    <n v="6"/>
    <n v="5"/>
    <n v="133"/>
    <s v="lamban01"/>
    <x v="28"/>
    <n v="1.2105263157894737"/>
  </r>
  <r>
    <s v="Josh Hall"/>
    <x v="11"/>
    <x v="0"/>
    <x v="1"/>
    <n v="0.32300000000000001"/>
    <n v="59"/>
    <n v="4"/>
    <n v="1"/>
    <n v="86"/>
    <s v="halljo01"/>
    <x v="28"/>
    <n v="1.1200000000000001"/>
  </r>
  <r>
    <s v="Naji Marshall"/>
    <x v="10"/>
    <x v="0"/>
    <x v="1"/>
    <n v="0.46200000000000002"/>
    <n v="148"/>
    <n v="26"/>
    <n v="10"/>
    <n v="246"/>
    <s v="marshna01"/>
    <x v="126"/>
    <n v="2.3157894736842106"/>
  </r>
  <r>
    <s v="Otto Porter Jr."/>
    <x v="0"/>
    <x v="1"/>
    <x v="1"/>
    <n v="0.51800000000000002"/>
    <n v="152"/>
    <n v="16"/>
    <n v="4"/>
    <n v="271"/>
    <s v="porteot01"/>
    <x v="127"/>
    <n v="2.2000000000000002"/>
  </r>
  <r>
    <s v="Aaron Gordon"/>
    <x v="1"/>
    <x v="1"/>
    <x v="1"/>
    <n v="0.52200000000000002"/>
    <n v="284"/>
    <n v="33"/>
    <n v="34"/>
    <n v="618"/>
    <s v="gordoaa01"/>
    <x v="128"/>
    <n v="1.6597938144329898"/>
  </r>
  <r>
    <s v="Evan Fournier"/>
    <x v="2"/>
    <x v="1"/>
    <x v="1"/>
    <n v="0.56499999999999995"/>
    <n v="128"/>
    <n v="47"/>
    <n v="19"/>
    <n v="719"/>
    <s v="fournev01"/>
    <x v="129"/>
    <n v="1.9726027397260273"/>
  </r>
  <r>
    <s v="James Johnson"/>
    <x v="17"/>
    <x v="1"/>
    <x v="1"/>
    <n v="0.49399999999999999"/>
    <n v="177"/>
    <n v="42"/>
    <n v="42"/>
    <n v="368"/>
    <s v="johnsja01"/>
    <x v="130"/>
    <n v="1.7818181818181817"/>
  </r>
  <r>
    <s v="Kelly Olynyk"/>
    <x v="5"/>
    <x v="1"/>
    <x v="1"/>
    <n v="0.57399999999999995"/>
    <n v="489"/>
    <n v="79"/>
    <n v="42"/>
    <n v="945"/>
    <s v="olynyke01"/>
    <x v="131"/>
    <n v="1.6111111111111112"/>
  </r>
  <r>
    <s v="Taurean Prince"/>
    <x v="4"/>
    <x v="1"/>
    <x v="1"/>
    <n v="0.495"/>
    <n v="142"/>
    <n v="28"/>
    <n v="23"/>
    <n v="389"/>
    <s v="princta02"/>
    <x v="132"/>
    <n v="1.6170212765957446"/>
  </r>
  <r>
    <s v="Rodney Hood"/>
    <x v="2"/>
    <x v="1"/>
    <x v="1"/>
    <n v="0.42699999999999999"/>
    <n v="103"/>
    <n v="24"/>
    <n v="7"/>
    <n v="246"/>
    <s v="hoodro01"/>
    <x v="133"/>
    <n v="1.4722222222222223"/>
  </r>
  <r>
    <s v="Al-Farouq Aminu"/>
    <x v="15"/>
    <x v="1"/>
    <x v="1"/>
    <n v="0.42399999999999999"/>
    <n v="110"/>
    <n v="19"/>
    <n v="9"/>
    <n v="102"/>
    <s v="aminual01"/>
    <x v="134"/>
    <n v="1.1071428571428572"/>
  </r>
  <r>
    <s v="P.J. Tucker"/>
    <x v="16"/>
    <x v="1"/>
    <x v="1"/>
    <n v="0.48599999999999999"/>
    <n v="204"/>
    <n v="39"/>
    <n v="20"/>
    <n v="193"/>
    <s v="tuckepj01"/>
    <x v="135"/>
    <n v="1.5249999999999999"/>
  </r>
  <r>
    <s v="D.J. Wilson"/>
    <x v="12"/>
    <x v="1"/>
    <x v="1"/>
    <n v="0.49399999999999999"/>
    <n v="112"/>
    <n v="11"/>
    <n v="16"/>
    <n v="183"/>
    <s v="wilsodj01"/>
    <x v="136"/>
    <n v="1.0454545454545454"/>
  </r>
  <r>
    <s v="Nicolò Melli"/>
    <x v="15"/>
    <x v="1"/>
    <x v="1"/>
    <n v="0.40799999999999997"/>
    <n v="122"/>
    <n v="14"/>
    <n v="3"/>
    <n v="134"/>
    <s v="mellini01"/>
    <x v="137"/>
    <n v="3.6666666666666665"/>
  </r>
  <r>
    <s v="Maurice Harkless"/>
    <x v="0"/>
    <x v="1"/>
    <x v="1"/>
    <n v="0.48799999999999999"/>
    <n v="89"/>
    <n v="30"/>
    <n v="20"/>
    <n v="194"/>
    <s v="harklma01"/>
    <x v="59"/>
    <n v="2"/>
  </r>
  <r>
    <s v="Troy Brown Jr."/>
    <x v="9"/>
    <x v="1"/>
    <x v="1"/>
    <n v="0.50700000000000001"/>
    <n v="105"/>
    <n v="10"/>
    <n v="6"/>
    <n v="161"/>
    <s v="browntr01"/>
    <x v="138"/>
    <n v="1.3809523809523809"/>
  </r>
  <r>
    <s v="Chandler Hutchison"/>
    <x v="12"/>
    <x v="1"/>
    <x v="1"/>
    <n v="0.41699999999999998"/>
    <n v="78"/>
    <n v="12"/>
    <n v="5"/>
    <n v="107"/>
    <s v="hutchch01"/>
    <x v="139"/>
    <n v="0.85"/>
  </r>
  <r>
    <s v="Gary Clark"/>
    <x v="4"/>
    <x v="1"/>
    <x v="1"/>
    <n v="0.42"/>
    <n v="115"/>
    <n v="13"/>
    <n v="7"/>
    <n v="119"/>
    <s v="clarkga01"/>
    <x v="113"/>
    <n v="1.8235294117647058"/>
  </r>
  <r>
    <s v="Rodions Kurucs"/>
    <x v="6"/>
    <x v="1"/>
    <x v="1"/>
    <n v="0.438"/>
    <n v="23"/>
    <n v="9"/>
    <n v="4"/>
    <n v="31"/>
    <s v="kurucro01"/>
    <x v="140"/>
    <n v="0.76923076923076927"/>
  </r>
  <r>
    <s v="Wes Iwundu"/>
    <x v="4"/>
    <x v="1"/>
    <x v="1"/>
    <n v="0.35799999999999998"/>
    <n v="90"/>
    <n v="15"/>
    <n v="4"/>
    <n v="99"/>
    <s v="iwundwe01"/>
    <x v="141"/>
    <n v="0.94736842105263153"/>
  </r>
  <r>
    <s v="Hamidou Diallo"/>
    <x v="6"/>
    <x v="1"/>
    <x v="1"/>
    <n v="0.50600000000000001"/>
    <n v="272"/>
    <n v="41"/>
    <n v="24"/>
    <n v="604"/>
    <s v="diallha01"/>
    <x v="64"/>
    <n v="1.3289473684210527"/>
  </r>
  <r>
    <s v="Svi Mykhailiuk"/>
    <x v="10"/>
    <x v="1"/>
    <x v="1"/>
    <n v="0.51500000000000001"/>
    <n v="163"/>
    <n v="51"/>
    <n v="12"/>
    <n v="559"/>
    <s v="mykhasv01"/>
    <x v="64"/>
    <n v="1.25"/>
  </r>
  <r>
    <s v="Torrey Craig"/>
    <x v="15"/>
    <x v="1"/>
    <x v="1"/>
    <n v="0.56599999999999995"/>
    <n v="197"/>
    <n v="28"/>
    <n v="26"/>
    <n v="274"/>
    <s v="craigto01"/>
    <x v="24"/>
    <n v="1.96"/>
  </r>
  <r>
    <s v="Chris Silva"/>
    <x v="12"/>
    <x v="1"/>
    <x v="1"/>
    <n v="0.65600000000000003"/>
    <n v="27"/>
    <n v="1"/>
    <n v="6"/>
    <n v="32"/>
    <s v="silvach01"/>
    <x v="25"/>
    <n v="0.6"/>
  </r>
  <r>
    <s v="Javonte Green"/>
    <x v="0"/>
    <x v="1"/>
    <x v="1"/>
    <n v="0.56899999999999995"/>
    <n v="71"/>
    <n v="28"/>
    <n v="6"/>
    <n v="146"/>
    <s v="greenja02"/>
    <x v="25"/>
    <n v="0.89473684210526316"/>
  </r>
  <r>
    <s v="Blake Griffin"/>
    <x v="7"/>
    <x v="1"/>
    <x v="1"/>
    <n v="0.50900000000000001"/>
    <n v="225"/>
    <n v="32"/>
    <n v="15"/>
    <n v="505"/>
    <s v="griffbl01"/>
    <x v="142"/>
    <n v="2.2580645161290325"/>
  </r>
  <r>
    <s v="Justin Jackson"/>
    <x v="1"/>
    <x v="1"/>
    <x v="1"/>
    <n v="0.48399999999999999"/>
    <n v="77"/>
    <n v="15"/>
    <n v="2"/>
    <n v="245"/>
    <s v="jacksju01"/>
    <x v="28"/>
    <n v="1.625"/>
  </r>
  <r>
    <s v="Nemanja Bjelica"/>
    <x v="13"/>
    <x v="1"/>
    <x v="1"/>
    <n v="0.52300000000000002"/>
    <n v="127"/>
    <n v="15"/>
    <n v="5"/>
    <n v="242"/>
    <s v="bjeline01"/>
    <x v="68"/>
    <n v="2.0909090909090908"/>
  </r>
  <r>
    <s v="Jabari Parker"/>
    <x v="1"/>
    <x v="1"/>
    <x v="1"/>
    <n v="0.56399999999999995"/>
    <n v="42"/>
    <n v="1"/>
    <n v="5"/>
    <n v="72"/>
    <s v="parkeja01"/>
    <x v="143"/>
    <n v="1.1000000000000001"/>
  </r>
  <r>
    <s v="Tyler Cook"/>
    <x v="10"/>
    <x v="1"/>
    <x v="1"/>
    <n v="0.67500000000000004"/>
    <n v="95"/>
    <n v="8"/>
    <n v="2"/>
    <n v="156"/>
    <s v="cookty01"/>
    <x v="144"/>
    <n v="0.80952380952380953"/>
  </r>
  <r>
    <s v="Mfiondu Kabengele"/>
    <x v="10"/>
    <x v="1"/>
    <x v="1"/>
    <n v="0.44400000000000001"/>
    <n v="60"/>
    <n v="8"/>
    <n v="13"/>
    <n v="95"/>
    <s v="kabenmf01"/>
    <x v="145"/>
    <n v="1.1333333333333333"/>
  </r>
  <r>
    <s v="Ignas Brazdeikis"/>
    <x v="6"/>
    <x v="1"/>
    <x v="1"/>
    <n v="0.48799999999999999"/>
    <n v="45"/>
    <n v="4"/>
    <n v="3"/>
    <n v="91"/>
    <s v="brazdig01"/>
    <x v="146"/>
    <n v="1.4166666666666667"/>
  </r>
  <r>
    <s v="Kevin Durant"/>
    <x v="13"/>
    <x v="2"/>
    <x v="1"/>
    <n v="0.60799999999999998"/>
    <n v="247"/>
    <n v="25"/>
    <n v="45"/>
    <n v="943"/>
    <s v="duranke01"/>
    <x v="147"/>
    <n v="1.625"/>
  </r>
  <r>
    <s v="Jimmy Butler"/>
    <x v="7"/>
    <x v="2"/>
    <x v="1"/>
    <n v="0.51400000000000001"/>
    <n v="359"/>
    <n v="108"/>
    <n v="18"/>
    <n v="1116"/>
    <s v="butleji01"/>
    <x v="70"/>
    <n v="3.3853211009174311"/>
  </r>
  <r>
    <s v="Tobias Harris"/>
    <x v="2"/>
    <x v="2"/>
    <x v="1"/>
    <n v="0.55600000000000005"/>
    <n v="419"/>
    <n v="55"/>
    <n v="51"/>
    <n v="1210"/>
    <s v="harrito02"/>
    <x v="148"/>
    <n v="2.05607476635514"/>
  </r>
  <r>
    <s v="Khris Middleton"/>
    <x v="5"/>
    <x v="2"/>
    <x v="1"/>
    <n v="0.54600000000000004"/>
    <n v="406"/>
    <n v="74"/>
    <n v="9"/>
    <n v="1385"/>
    <s v="middlkh01"/>
    <x v="149"/>
    <n v="2.0786516853932584"/>
  </r>
  <r>
    <s v="Kevin Love"/>
    <x v="13"/>
    <x v="2"/>
    <x v="1"/>
    <n v="0.52200000000000002"/>
    <n v="186"/>
    <n v="16"/>
    <n v="2"/>
    <n v="305"/>
    <s v="loveke01"/>
    <x v="150"/>
    <n v="1.6578947368421053"/>
  </r>
  <r>
    <s v="Pascal Siakam"/>
    <x v="4"/>
    <x v="2"/>
    <x v="1"/>
    <n v="0.49299999999999999"/>
    <n v="405"/>
    <n v="64"/>
    <n v="37"/>
    <n v="1196"/>
    <s v="siakapa01"/>
    <x v="151"/>
    <n v="1.9230769230769231"/>
  </r>
  <r>
    <s v="Gordon Hayward"/>
    <x v="15"/>
    <x v="2"/>
    <x v="1"/>
    <n v="0.53700000000000003"/>
    <n v="258"/>
    <n v="52"/>
    <n v="14"/>
    <n v="863"/>
    <s v="haywago01"/>
    <x v="152"/>
    <n v="1.9890109890109891"/>
  </r>
  <r>
    <s v="Giannis Antetokounmpo"/>
    <x v="4"/>
    <x v="2"/>
    <x v="1"/>
    <n v="0.6"/>
    <n v="671"/>
    <n v="72"/>
    <n v="73"/>
    <n v="1717"/>
    <s v="antetgi01"/>
    <x v="153"/>
    <n v="1.7246376811594204"/>
  </r>
  <r>
    <s v="Domantas Sabonis"/>
    <x v="12"/>
    <x v="2"/>
    <x v="1"/>
    <n v="0.56399999999999995"/>
    <n v="742"/>
    <n v="76"/>
    <n v="33"/>
    <n v="1260"/>
    <s v="sabondo01"/>
    <x v="154"/>
    <n v="1.948356807511737"/>
  </r>
  <r>
    <s v="Danilo Gallinari"/>
    <x v="13"/>
    <x v="2"/>
    <x v="1"/>
    <n v="0.54200000000000004"/>
    <n v="211"/>
    <n v="30"/>
    <n v="10"/>
    <n v="676"/>
    <s v="gallida01"/>
    <x v="155"/>
    <n v="1.7674418604651163"/>
  </r>
  <r>
    <s v="Jerami Grant"/>
    <x v="4"/>
    <x v="2"/>
    <x v="1"/>
    <n v="0.49099999999999999"/>
    <n v="250"/>
    <n v="35"/>
    <n v="58"/>
    <n v="1205"/>
    <s v="grantje01"/>
    <x v="156"/>
    <n v="1.3944954128440368"/>
  </r>
  <r>
    <s v="Julius Randle"/>
    <x v="4"/>
    <x v="2"/>
    <x v="1"/>
    <n v="0.51600000000000001"/>
    <n v="723"/>
    <n v="64"/>
    <n v="18"/>
    <n v="1712"/>
    <s v="randlju01"/>
    <x v="157"/>
    <n v="1.7717842323651452"/>
  </r>
  <r>
    <s v="Joe Harris"/>
    <x v="5"/>
    <x v="2"/>
    <x v="1"/>
    <n v="0.65400000000000003"/>
    <n v="248"/>
    <n v="46"/>
    <n v="14"/>
    <n v="974"/>
    <s v="harrijo01"/>
    <x v="158"/>
    <n v="2.096774193548387"/>
  </r>
  <r>
    <s v="Danny Green"/>
    <x v="17"/>
    <x v="2"/>
    <x v="1"/>
    <n v="0.57299999999999995"/>
    <n v="260"/>
    <n v="92"/>
    <n v="56"/>
    <n v="654"/>
    <s v="greenda02"/>
    <x v="159"/>
    <n v="1.7611940298507462"/>
  </r>
  <r>
    <s v="Dāvis Bertāns"/>
    <x v="2"/>
    <x v="2"/>
    <x v="1"/>
    <n v="0.58099999999999996"/>
    <n v="168"/>
    <n v="33"/>
    <n v="13"/>
    <n v="655"/>
    <s v="bertada01"/>
    <x v="5"/>
    <n v="1.4848484848484849"/>
  </r>
  <r>
    <s v="Andre Iguodala"/>
    <x v="19"/>
    <x v="2"/>
    <x v="1"/>
    <n v="0.504"/>
    <n v="221"/>
    <n v="57"/>
    <n v="35"/>
    <n v="275"/>
    <s v="iguodan01"/>
    <x v="5"/>
    <n v="2.1194029850746268"/>
  </r>
  <r>
    <s v="Thaddeus Young"/>
    <x v="13"/>
    <x v="2"/>
    <x v="1"/>
    <n v="0.56799999999999995"/>
    <n v="423"/>
    <n v="74"/>
    <n v="40"/>
    <n v="823"/>
    <s v="youngth01"/>
    <x v="160"/>
    <n v="2.1240875912408761"/>
  </r>
  <r>
    <s v="Trevor Ariza"/>
    <x v="16"/>
    <x v="2"/>
    <x v="1"/>
    <n v="0.51500000000000001"/>
    <n v="144"/>
    <n v="31"/>
    <n v="18"/>
    <n v="282"/>
    <s v="arizatr01"/>
    <x v="161"/>
    <n v="2.6190476190476191"/>
  </r>
  <r>
    <s v="T.J. Warren"/>
    <x v="0"/>
    <x v="2"/>
    <x v="1"/>
    <n v="0.52900000000000003"/>
    <n v="14"/>
    <n v="2"/>
    <n v="0"/>
    <n v="62"/>
    <s v="warretj01"/>
    <x v="162"/>
    <n v="1.25"/>
  </r>
  <r>
    <s v="Larry Nance Jr."/>
    <x v="2"/>
    <x v="2"/>
    <x v="1"/>
    <n v="0.54600000000000004"/>
    <n v="235"/>
    <n v="61"/>
    <n v="17"/>
    <n v="327"/>
    <s v="nancela02"/>
    <x v="163"/>
    <n v="1.9454545454545455"/>
  </r>
  <r>
    <s v="Jayson Tatum"/>
    <x v="6"/>
    <x v="2"/>
    <x v="1"/>
    <n v="0.53"/>
    <n v="472"/>
    <n v="75"/>
    <n v="31"/>
    <n v="1692"/>
    <s v="tatumja01"/>
    <x v="164"/>
    <n v="1.6140350877192982"/>
  </r>
  <r>
    <s v="Cedi Osman"/>
    <x v="1"/>
    <x v="2"/>
    <x v="1"/>
    <n v="0.45800000000000002"/>
    <n v="201"/>
    <n v="53"/>
    <n v="9"/>
    <n v="613"/>
    <s v="osmande01"/>
    <x v="165"/>
    <n v="2.1749999999999998"/>
  </r>
  <r>
    <s v="De'Andre Hunter"/>
    <x v="10"/>
    <x v="2"/>
    <x v="1"/>
    <n v="0.54600000000000004"/>
    <n v="110"/>
    <n v="19"/>
    <n v="12"/>
    <n v="344"/>
    <s v="huntede01"/>
    <x v="166"/>
    <n v="1.5172413793103448"/>
  </r>
  <r>
    <s v="Doug McDermott"/>
    <x v="5"/>
    <x v="2"/>
    <x v="1"/>
    <n v="0.61599999999999999"/>
    <n v="221"/>
    <n v="20"/>
    <n v="6"/>
    <n v="899"/>
    <s v="mcderdo01"/>
    <x v="167"/>
    <n v="1.6037735849056605"/>
  </r>
  <r>
    <s v="Patrick Williams"/>
    <x v="8"/>
    <x v="2"/>
    <x v="1"/>
    <n v="0.53400000000000003"/>
    <n v="327"/>
    <n v="64"/>
    <n v="46"/>
    <n v="655"/>
    <s v="willipa01"/>
    <x v="168"/>
    <n v="1.010204081632653"/>
  </r>
  <r>
    <s v="Lauri Markkanen"/>
    <x v="10"/>
    <x v="2"/>
    <x v="1"/>
    <n v="0.59399999999999997"/>
    <n v="268"/>
    <n v="26"/>
    <n v="15"/>
    <n v="695"/>
    <s v="markkla01"/>
    <x v="169"/>
    <n v="0.86538461538461542"/>
  </r>
  <r>
    <s v="Mike Scott"/>
    <x v="13"/>
    <x v="2"/>
    <x v="1"/>
    <n v="0.48599999999999999"/>
    <n v="120"/>
    <n v="24"/>
    <n v="14"/>
    <n v="213"/>
    <s v="scottmi01"/>
    <x v="17"/>
    <n v="2.1052631578947367"/>
  </r>
  <r>
    <s v="Obi Toppin"/>
    <x v="6"/>
    <x v="2"/>
    <x v="1"/>
    <n v="0.56000000000000005"/>
    <n v="138"/>
    <n v="17"/>
    <n v="15"/>
    <n v="253"/>
    <s v="toppiob01"/>
    <x v="170"/>
    <n v="1.2608695652173914"/>
  </r>
  <r>
    <s v="Rui Hachimura"/>
    <x v="6"/>
    <x v="2"/>
    <x v="1"/>
    <n v="0.51300000000000001"/>
    <n v="312"/>
    <n v="44"/>
    <n v="7"/>
    <n v="789"/>
    <s v="hachiru01"/>
    <x v="171"/>
    <n v="1.2058823529411764"/>
  </r>
  <r>
    <s v="Kevin Knox"/>
    <x v="9"/>
    <x v="2"/>
    <x v="1"/>
    <n v="0.51400000000000001"/>
    <n v="61"/>
    <n v="12"/>
    <n v="6"/>
    <n v="163"/>
    <s v="knoxke01"/>
    <x v="172"/>
    <n v="1.1176470588235294"/>
  </r>
  <r>
    <s v="Deni Avdija"/>
    <x v="11"/>
    <x v="2"/>
    <x v="1"/>
    <n v="0.502"/>
    <n v="262"/>
    <n v="32"/>
    <n v="15"/>
    <n v="342"/>
    <s v="avdijde01"/>
    <x v="173"/>
    <n v="1.9090909090909092"/>
  </r>
  <r>
    <s v="Cam Reddish"/>
    <x v="9"/>
    <x v="2"/>
    <x v="1"/>
    <n v="0.42799999999999999"/>
    <n v="104"/>
    <n v="33"/>
    <n v="9"/>
    <n v="292"/>
    <s v="reddica01"/>
    <x v="174"/>
    <n v="1.0294117647058822"/>
  </r>
  <r>
    <s v="Reggie Bullock"/>
    <x v="5"/>
    <x v="2"/>
    <x v="1"/>
    <n v="0.58699999999999997"/>
    <n v="223"/>
    <n v="52"/>
    <n v="11"/>
    <n v="709"/>
    <s v="bullore01"/>
    <x v="33"/>
    <n v="2.2000000000000002"/>
  </r>
  <r>
    <s v="John Collins"/>
    <x v="10"/>
    <x v="2"/>
    <x v="1"/>
    <n v="0.61"/>
    <n v="467"/>
    <n v="34"/>
    <n v="63"/>
    <n v="1111"/>
    <s v="collijo01"/>
    <x v="175"/>
    <n v="0.9285714285714286"/>
  </r>
  <r>
    <s v="P.J. Washington"/>
    <x v="6"/>
    <x v="2"/>
    <x v="1"/>
    <n v="0.52200000000000002"/>
    <n v="418"/>
    <n v="69"/>
    <n v="79"/>
    <n v="824"/>
    <s v="washipj01"/>
    <x v="176"/>
    <n v="1.2578125"/>
  </r>
  <r>
    <s v="Patrick McCaw"/>
    <x v="1"/>
    <x v="2"/>
    <x v="1"/>
    <n v="1"/>
    <n v="3"/>
    <n v="2"/>
    <n v="0"/>
    <n v="5"/>
    <s v="mccawpa01"/>
    <x v="97"/>
    <n v="0"/>
  </r>
  <r>
    <s v="Miles Bridges"/>
    <x v="6"/>
    <x v="2"/>
    <x v="1"/>
    <n v="0.59599999999999997"/>
    <n v="397"/>
    <n v="44"/>
    <n v="52"/>
    <n v="840"/>
    <s v="bridgmi02"/>
    <x v="177"/>
    <n v="1.3867924528301887"/>
  </r>
  <r>
    <s v="OG Anunoby"/>
    <x v="10"/>
    <x v="2"/>
    <x v="1"/>
    <n v="0.57999999999999996"/>
    <n v="237"/>
    <n v="66"/>
    <n v="32"/>
    <n v="682"/>
    <s v="anunoog01"/>
    <x v="178"/>
    <n v="1.2533333333333334"/>
  </r>
  <r>
    <s v="Stanley Johnson"/>
    <x v="12"/>
    <x v="2"/>
    <x v="1"/>
    <n v="0.47899999999999998"/>
    <n v="153"/>
    <n v="52"/>
    <n v="18"/>
    <n v="267"/>
    <s v="johnsst04"/>
    <x v="179"/>
    <n v="1.6481481481481481"/>
  </r>
  <r>
    <s v="Aaron Nesmith"/>
    <x v="9"/>
    <x v="2"/>
    <x v="1"/>
    <n v="0.55100000000000005"/>
    <n v="127"/>
    <n v="15"/>
    <n v="9"/>
    <n v="218"/>
    <s v="nesmiaa01"/>
    <x v="180"/>
    <n v="1"/>
  </r>
  <r>
    <s v="Sekou Doumbouya"/>
    <x v="11"/>
    <x v="2"/>
    <x v="1"/>
    <n v="0.42599999999999999"/>
    <n v="143"/>
    <n v="24"/>
    <n v="9"/>
    <n v="285"/>
    <s v="doumbse01"/>
    <x v="181"/>
    <n v="1.0681818181818181"/>
  </r>
  <r>
    <s v="James Ennis III"/>
    <x v="15"/>
    <x v="2"/>
    <x v="1"/>
    <n v="0.56599999999999995"/>
    <n v="166"/>
    <n v="32"/>
    <n v="7"/>
    <n v="345"/>
    <s v="ennisja01"/>
    <x v="182"/>
    <n v="1.7222222222222223"/>
  </r>
  <r>
    <s v="Chuma Okeke"/>
    <x v="6"/>
    <x v="2"/>
    <x v="1"/>
    <n v="0.49199999999999999"/>
    <n v="181"/>
    <n v="48"/>
    <n v="22"/>
    <n v="349"/>
    <s v="okekech01"/>
    <x v="60"/>
    <n v="2.6578947368421053"/>
  </r>
  <r>
    <s v="Saddiq Bey"/>
    <x v="9"/>
    <x v="2"/>
    <x v="1"/>
    <n v="0.53"/>
    <n v="318"/>
    <n v="52"/>
    <n v="14"/>
    <n v="857"/>
    <s v="beysa01"/>
    <x v="183"/>
    <n v="1.5833333333333333"/>
  </r>
  <r>
    <s v="Precious Achiuwa"/>
    <x v="9"/>
    <x v="2"/>
    <x v="1"/>
    <n v="0.54400000000000004"/>
    <n v="208"/>
    <n v="20"/>
    <n v="28"/>
    <n v="304"/>
    <s v="achiupr01"/>
    <x v="184"/>
    <n v="0.67441860465116277"/>
  </r>
  <r>
    <s v="Grant Williams"/>
    <x v="6"/>
    <x v="2"/>
    <x v="1"/>
    <n v="0.53400000000000003"/>
    <n v="178"/>
    <n v="32"/>
    <n v="24"/>
    <n v="294"/>
    <s v="willigr01"/>
    <x v="185"/>
    <n v="1.1428571428571428"/>
  </r>
  <r>
    <s v="Dylan Windler"/>
    <x v="12"/>
    <x v="2"/>
    <x v="1"/>
    <n v="0.53800000000000003"/>
    <n v="107"/>
    <n v="19"/>
    <n v="12"/>
    <n v="161"/>
    <s v="windldy01"/>
    <x v="186"/>
    <n v="1.03125"/>
  </r>
  <r>
    <s v="Semi Ojeleye"/>
    <x v="4"/>
    <x v="2"/>
    <x v="1"/>
    <n v="0.53400000000000003"/>
    <n v="147"/>
    <n v="17"/>
    <n v="0"/>
    <n v="260"/>
    <s v="ojelese01"/>
    <x v="119"/>
    <n v="1.7619047619047619"/>
  </r>
  <r>
    <s v="DeAndre' Bembry"/>
    <x v="4"/>
    <x v="2"/>
    <x v="1"/>
    <n v="0.54400000000000004"/>
    <n v="146"/>
    <n v="53"/>
    <n v="18"/>
    <n v="293"/>
    <s v="bembrde01"/>
    <x v="187"/>
    <n v="1.5070422535211268"/>
  </r>
  <r>
    <s v="Thanasis Antetokounmpo"/>
    <x v="2"/>
    <x v="2"/>
    <x v="1"/>
    <n v="0.51500000000000001"/>
    <n v="124"/>
    <n v="22"/>
    <n v="10"/>
    <n v="166"/>
    <s v="antetth01"/>
    <x v="188"/>
    <n v="1.069767441860465"/>
  </r>
  <r>
    <s v="Isaac Bonga"/>
    <x v="9"/>
    <x v="2"/>
    <x v="1"/>
    <n v="0.45100000000000001"/>
    <n v="66"/>
    <n v="11"/>
    <n v="9"/>
    <n v="78"/>
    <s v="bongais01"/>
    <x v="64"/>
    <n v="1.0454545454545454"/>
  </r>
  <r>
    <s v="Duncan Robinson"/>
    <x v="4"/>
    <x v="2"/>
    <x v="1"/>
    <n v="0.61399999999999999"/>
    <n v="250"/>
    <n v="43"/>
    <n v="20"/>
    <n v="942"/>
    <s v="robindu01"/>
    <x v="64"/>
    <n v="1.5679012345679013"/>
  </r>
  <r>
    <s v="JaKarr Sampson"/>
    <x v="0"/>
    <x v="2"/>
    <x v="1"/>
    <n v="0.50900000000000001"/>
    <n v="77"/>
    <n v="2"/>
    <n v="14"/>
    <n v="134"/>
    <s v="sampsja02"/>
    <x v="24"/>
    <n v="0.26666666666666666"/>
  </r>
  <r>
    <s v="Solomon Hill"/>
    <x v="5"/>
    <x v="2"/>
    <x v="1"/>
    <n v="0.47299999999999998"/>
    <n v="214"/>
    <n v="50"/>
    <n v="11"/>
    <n v="317"/>
    <s v="hillso01"/>
    <x v="24"/>
    <n v="1.7857142857142858"/>
  </r>
  <r>
    <s v="Jeff Green"/>
    <x v="3"/>
    <x v="2"/>
    <x v="1"/>
    <n v="0.59"/>
    <n v="263"/>
    <n v="36"/>
    <n v="27"/>
    <n v="750"/>
    <s v="greenje02"/>
    <x v="24"/>
    <n v="2"/>
  </r>
  <r>
    <s v="KZ Okpala"/>
    <x v="9"/>
    <x v="2"/>
    <x v="1"/>
    <n v="0.438"/>
    <n v="68"/>
    <n v="10"/>
    <n v="11"/>
    <n v="92"/>
    <s v="okpalkz01"/>
    <x v="25"/>
    <n v="1.2666666666666666"/>
  </r>
  <r>
    <s v="Dean Wade"/>
    <x v="12"/>
    <x v="2"/>
    <x v="1"/>
    <n v="0.55600000000000005"/>
    <n v="215"/>
    <n v="35"/>
    <n v="21"/>
    <n v="376"/>
    <s v="wadede01"/>
    <x v="25"/>
    <n v="2.4666666666666668"/>
  </r>
  <r>
    <s v="Caleb Martin"/>
    <x v="1"/>
    <x v="2"/>
    <x v="1"/>
    <n v="0.436"/>
    <n v="141"/>
    <n v="37"/>
    <n v="12"/>
    <n v="264"/>
    <s v="martica02"/>
    <x v="25"/>
    <n v="2.0303030303030303"/>
  </r>
  <r>
    <s v="Cody Martin"/>
    <x v="1"/>
    <x v="2"/>
    <x v="1"/>
    <n v="0.48399999999999999"/>
    <n v="161"/>
    <n v="37"/>
    <n v="12"/>
    <n v="207"/>
    <s v="martico01"/>
    <x v="25"/>
    <n v="2.15"/>
  </r>
  <r>
    <s v="Jalen McDaniels"/>
    <x v="10"/>
    <x v="2"/>
    <x v="1"/>
    <n v="0.53"/>
    <n v="169"/>
    <n v="28"/>
    <n v="19"/>
    <n v="346"/>
    <s v="mcdanja01"/>
    <x v="25"/>
    <n v="1.1777777777777778"/>
  </r>
  <r>
    <s v="Paul Watson"/>
    <x v="4"/>
    <x v="2"/>
    <x v="1"/>
    <n v="0.64600000000000002"/>
    <n v="45"/>
    <n v="6"/>
    <n v="3"/>
    <n v="111"/>
    <s v="watsopa01"/>
    <x v="122"/>
    <n v="1.8888888888888888"/>
  </r>
  <r>
    <s v="Kelan Martin"/>
    <x v="1"/>
    <x v="2"/>
    <x v="1"/>
    <n v="0.53600000000000003"/>
    <n v="78"/>
    <n v="10"/>
    <n v="10"/>
    <n v="157"/>
    <s v="martike03"/>
    <x v="122"/>
    <n v="1.0625"/>
  </r>
  <r>
    <s v="Nick Richards"/>
    <x v="10"/>
    <x v="2"/>
    <x v="1"/>
    <n v="0.44400000000000001"/>
    <n v="11"/>
    <n v="0"/>
    <n v="0"/>
    <n v="15"/>
    <s v="richani01"/>
    <x v="39"/>
    <n v="0.66666666666666663"/>
  </r>
  <r>
    <s v="Anthony Gill"/>
    <x v="2"/>
    <x v="2"/>
    <x v="1"/>
    <n v="0.55800000000000005"/>
    <n v="51"/>
    <n v="10"/>
    <n v="4"/>
    <n v="80"/>
    <s v="gillan01"/>
    <x v="26"/>
    <n v="1.375"/>
  </r>
  <r>
    <s v="Max Strus"/>
    <x v="12"/>
    <x v="2"/>
    <x v="1"/>
    <n v="0.58799999999999997"/>
    <n v="41"/>
    <n v="11"/>
    <n v="2"/>
    <n v="236"/>
    <s v="strusma01"/>
    <x v="26"/>
    <n v="3"/>
  </r>
  <r>
    <s v="Jordan Nwora"/>
    <x v="6"/>
    <x v="2"/>
    <x v="1"/>
    <n v="0.56299999999999994"/>
    <n v="60"/>
    <n v="16"/>
    <n v="7"/>
    <n v="171"/>
    <s v="nworajo01"/>
    <x v="26"/>
    <n v="0.29166666666666669"/>
  </r>
  <r>
    <s v="Oshae Brissett"/>
    <x v="6"/>
    <x v="2"/>
    <x v="1"/>
    <n v="0.59299999999999997"/>
    <n v="115"/>
    <n v="19"/>
    <n v="20"/>
    <n v="229"/>
    <s v="brissos01"/>
    <x v="189"/>
    <n v="1.8"/>
  </r>
  <r>
    <s v="Timothé Luwawu-Cabarrot"/>
    <x v="1"/>
    <x v="2"/>
    <x v="1"/>
    <n v="0.47099999999999997"/>
    <n v="129"/>
    <n v="33"/>
    <n v="6"/>
    <n v="370"/>
    <s v="luwawti01"/>
    <x v="190"/>
    <n v="1.6046511627906976"/>
  </r>
  <r>
    <s v="Lamar Stevens"/>
    <x v="10"/>
    <x v="2"/>
    <x v="1"/>
    <n v="0.47099999999999997"/>
    <n v="96"/>
    <n v="17"/>
    <n v="13"/>
    <n v="165"/>
    <s v="stevela01"/>
    <x v="191"/>
    <n v="1.0869565217391304"/>
  </r>
  <r>
    <s v="Paul Reed"/>
    <x v="9"/>
    <x v="2"/>
    <x v="1"/>
    <n v="0.53800000000000003"/>
    <n v="61"/>
    <n v="10"/>
    <n v="13"/>
    <n v="88"/>
    <s v="reedpa01"/>
    <x v="192"/>
    <n v="1"/>
  </r>
  <r>
    <s v="Axel Toupane"/>
    <x v="2"/>
    <x v="2"/>
    <x v="1"/>
    <n v="0.40899999999999997"/>
    <n v="6"/>
    <n v="2"/>
    <n v="3"/>
    <n v="14"/>
    <s v="toupaax01"/>
    <x v="28"/>
    <n v="0"/>
  </r>
  <r>
    <s v="Reggie Perry"/>
    <x v="11"/>
    <x v="2"/>
    <x v="1"/>
    <n v="0.436"/>
    <n v="73"/>
    <n v="6"/>
    <n v="6"/>
    <n v="78"/>
    <s v="perryre01"/>
    <x v="28"/>
    <n v="0.93333333333333335"/>
  </r>
  <r>
    <s v="Nathan Knight"/>
    <x v="10"/>
    <x v="2"/>
    <x v="1"/>
    <n v="0.4"/>
    <n v="72"/>
    <n v="9"/>
    <n v="10"/>
    <n v="124"/>
    <s v="knighna01"/>
    <x v="28"/>
    <n v="0.53333333333333333"/>
  </r>
  <r>
    <s v="Alize Johnson"/>
    <x v="12"/>
    <x v="2"/>
    <x v="1"/>
    <n v="0.59599999999999997"/>
    <n v="90"/>
    <n v="5"/>
    <n v="5"/>
    <n v="94"/>
    <s v="johnsal02"/>
    <x v="193"/>
    <n v="1.5555555555555556"/>
  </r>
  <r>
    <s v="Yuta Watanabe"/>
    <x v="4"/>
    <x v="2"/>
    <x v="1"/>
    <n v="0.53900000000000003"/>
    <n v="159"/>
    <n v="26"/>
    <n v="19"/>
    <n v="218"/>
    <s v="watanyu01"/>
    <x v="194"/>
    <n v="2.1052631578947367"/>
  </r>
  <r>
    <s v="Anthony Tolliver"/>
    <x v="16"/>
    <x v="2"/>
    <x v="1"/>
    <n v="0.35299999999999998"/>
    <n v="10"/>
    <n v="3"/>
    <n v="2"/>
    <n v="17"/>
    <s v="tollian01"/>
    <x v="195"/>
    <n v="0.66666666666666663"/>
  </r>
  <r>
    <s v="Mamadi Diakite"/>
    <x v="12"/>
    <x v="2"/>
    <x v="1"/>
    <n v="0.41299999999999998"/>
    <n v="34"/>
    <n v="7"/>
    <n v="6"/>
    <n v="44"/>
    <s v="diakima01"/>
    <x v="196"/>
    <n v="2.6666666666666665"/>
  </r>
  <r>
    <s v="Freddie Gillespie"/>
    <x v="10"/>
    <x v="2"/>
    <x v="1"/>
    <n v="0.52400000000000002"/>
    <n v="97"/>
    <n v="13"/>
    <n v="20"/>
    <n v="111"/>
    <s v="gillefr01"/>
    <x v="197"/>
    <n v="0.75"/>
  </r>
  <r>
    <s v="Stephen Curry"/>
    <x v="13"/>
    <x v="0"/>
    <x v="2"/>
    <n v="0.60499999999999998"/>
    <n v="345"/>
    <n v="77"/>
    <n v="8"/>
    <n v="2015"/>
    <s v="curryst01"/>
    <x v="198"/>
    <n v="1.70422535211268"/>
  </r>
  <r>
    <s v="Chris Paul"/>
    <x v="16"/>
    <x v="0"/>
    <x v="2"/>
    <n v="0.55700000000000005"/>
    <n v="312"/>
    <n v="99"/>
    <n v="19"/>
    <n v="1149"/>
    <s v="paulch01"/>
    <x v="199"/>
    <n v="3.9871794871794872"/>
  </r>
  <r>
    <s v="John Wall"/>
    <x v="15"/>
    <x v="0"/>
    <x v="2"/>
    <n v="0.45800000000000002"/>
    <n v="129"/>
    <n v="42"/>
    <n v="31"/>
    <n v="823"/>
    <s v="walljo01"/>
    <x v="200"/>
    <n v="1.9503546099290781"/>
  </r>
  <r>
    <s v="LeBron James"/>
    <x v="14"/>
    <x v="0"/>
    <x v="2"/>
    <n v="0.57599999999999996"/>
    <n v="346"/>
    <n v="48"/>
    <n v="25"/>
    <n v="1126"/>
    <s v="jamesle01"/>
    <x v="201"/>
    <n v="2.0833333333333335"/>
  </r>
  <r>
    <s v="Mike Conley"/>
    <x v="17"/>
    <x v="0"/>
    <x v="2"/>
    <n v="0.55200000000000005"/>
    <n v="177"/>
    <n v="70"/>
    <n v="9"/>
    <n v="827"/>
    <s v="conlemi01"/>
    <x v="202"/>
    <n v="3.0808080808080809"/>
  </r>
  <r>
    <s v="Damian Lillard"/>
    <x v="15"/>
    <x v="0"/>
    <x v="2"/>
    <n v="0.55400000000000005"/>
    <n v="283"/>
    <n v="62"/>
    <n v="17"/>
    <n v="1928"/>
    <s v="lillada01"/>
    <x v="203"/>
    <n v="2.4876847290640396"/>
  </r>
  <r>
    <s v="Devin Booker"/>
    <x v="12"/>
    <x v="0"/>
    <x v="2"/>
    <n v="0.53300000000000003"/>
    <n v="281"/>
    <n v="53"/>
    <n v="16"/>
    <n v="1712"/>
    <s v="bookede01"/>
    <x v="2"/>
    <n v="1.3961352657004831"/>
  </r>
  <r>
    <s v="CJ McCollum"/>
    <x v="5"/>
    <x v="0"/>
    <x v="2"/>
    <n v="0.55400000000000005"/>
    <n v="185"/>
    <n v="44"/>
    <n v="21"/>
    <n v="1087"/>
    <s v="mccolcj01"/>
    <x v="204"/>
    <n v="3.4307692307692306"/>
  </r>
  <r>
    <s v="D'Angelo Russell"/>
    <x v="12"/>
    <x v="0"/>
    <x v="2"/>
    <n v="0.52300000000000002"/>
    <n v="111"/>
    <n v="45"/>
    <n v="18"/>
    <n v="796"/>
    <s v="russeda01"/>
    <x v="205"/>
    <n v="2.1785714285714284"/>
  </r>
  <r>
    <s v="Jamal Murray"/>
    <x v="10"/>
    <x v="0"/>
    <x v="2"/>
    <n v="0.55900000000000005"/>
    <n v="194"/>
    <n v="64"/>
    <n v="13"/>
    <n v="1018"/>
    <s v="murraja01"/>
    <x v="73"/>
    <n v="2.1388888888888888"/>
  </r>
  <r>
    <s v="Buddy Hield"/>
    <x v="2"/>
    <x v="0"/>
    <x v="2"/>
    <n v="0.54800000000000004"/>
    <n v="334"/>
    <n v="63"/>
    <n v="30"/>
    <n v="1176"/>
    <s v="hieldbu01"/>
    <x v="206"/>
    <n v="1.976923076923077"/>
  </r>
  <r>
    <s v="Tim Hardaway Jr."/>
    <x v="2"/>
    <x v="0"/>
    <x v="2"/>
    <n v="0.56000000000000005"/>
    <n v="229"/>
    <n v="31"/>
    <n v="11"/>
    <n v="1163"/>
    <s v="hardati02"/>
    <x v="207"/>
    <n v="1.96875"/>
  </r>
  <r>
    <s v="Ricky Rubio"/>
    <x v="15"/>
    <x v="0"/>
    <x v="2"/>
    <n v="0.45400000000000001"/>
    <n v="223"/>
    <n v="98"/>
    <n v="4"/>
    <n v="582"/>
    <s v="rubiori01"/>
    <x v="208"/>
    <n v="3.900900900900901"/>
  </r>
  <r>
    <s v="Eric Bledsoe"/>
    <x v="7"/>
    <x v="0"/>
    <x v="2"/>
    <n v="0.503"/>
    <n v="244"/>
    <n v="55"/>
    <n v="24"/>
    <n v="869"/>
    <s v="bledser01"/>
    <x v="209"/>
    <n v="2.3508771929824563"/>
  </r>
  <r>
    <s v="Eric Gordon"/>
    <x v="13"/>
    <x v="0"/>
    <x v="2"/>
    <n v="0.52700000000000002"/>
    <n v="58"/>
    <n v="14"/>
    <n v="13"/>
    <n v="481"/>
    <s v="gordoer01"/>
    <x v="210"/>
    <n v="1.392156862745098"/>
  </r>
  <r>
    <s v="Dennis Schröder"/>
    <x v="0"/>
    <x v="0"/>
    <x v="2"/>
    <n v="0.48399999999999999"/>
    <n v="211"/>
    <n v="70"/>
    <n v="13"/>
    <n v="941"/>
    <s v="schrode01"/>
    <x v="46"/>
    <n v="2.1533742331288344"/>
  </r>
  <r>
    <s v="Dejounte Murray"/>
    <x v="12"/>
    <x v="0"/>
    <x v="2"/>
    <n v="0.48499999999999999"/>
    <n v="473"/>
    <n v="101"/>
    <n v="7"/>
    <n v="1051"/>
    <s v="murrade01"/>
    <x v="211"/>
    <n v="3.1025641025641026"/>
  </r>
  <r>
    <s v="Patty Mills"/>
    <x v="13"/>
    <x v="0"/>
    <x v="2"/>
    <n v="0.54400000000000004"/>
    <n v="116"/>
    <n v="42"/>
    <n v="3"/>
    <n v="736"/>
    <s v="millspa02"/>
    <x v="212"/>
    <n v="2.4545454545454546"/>
  </r>
  <r>
    <s v="Malik Beasley"/>
    <x v="12"/>
    <x v="0"/>
    <x v="2"/>
    <n v="0.54700000000000004"/>
    <n v="162"/>
    <n v="30"/>
    <n v="7"/>
    <n v="724"/>
    <s v="beaslma01"/>
    <x v="213"/>
    <n v="1.4666666666666666"/>
  </r>
  <r>
    <s v="Patrick Beverley"/>
    <x v="13"/>
    <x v="0"/>
    <x v="2"/>
    <n v="0.55000000000000004"/>
    <n v="119"/>
    <n v="29"/>
    <n v="28"/>
    <n v="278"/>
    <s v="beverpa01"/>
    <x v="214"/>
    <n v="2.2352941176470589"/>
  </r>
  <r>
    <s v="Kentavious Caldwell-Pope"/>
    <x v="0"/>
    <x v="0"/>
    <x v="2"/>
    <n v="0.54900000000000004"/>
    <n v="179"/>
    <n v="62"/>
    <n v="26"/>
    <n v="653"/>
    <s v="caldwke01"/>
    <x v="215"/>
    <n v="1.9242424242424243"/>
  </r>
  <r>
    <s v="Jordan Clarkson"/>
    <x v="2"/>
    <x v="0"/>
    <x v="2"/>
    <n v="0.52200000000000002"/>
    <n v="274"/>
    <n v="61"/>
    <n v="10"/>
    <n v="1251"/>
    <s v="clarkjo01"/>
    <x v="216"/>
    <n v="1.4608695652173913"/>
  </r>
  <r>
    <s v="Lonzo Ball"/>
    <x v="10"/>
    <x v="0"/>
    <x v="2"/>
    <n v="0.53700000000000003"/>
    <n v="263"/>
    <n v="82"/>
    <n v="31"/>
    <n v="802"/>
    <s v="balllo01"/>
    <x v="217"/>
    <n v="2.5691056910569108"/>
  </r>
  <r>
    <s v="Josh Richardson"/>
    <x v="0"/>
    <x v="0"/>
    <x v="2"/>
    <n v="0.498"/>
    <n v="195"/>
    <n v="61"/>
    <n v="24"/>
    <n v="715"/>
    <s v="richajo01"/>
    <x v="218"/>
    <n v="1.9367088607594938"/>
  </r>
  <r>
    <s v="Anthony Edwards"/>
    <x v="8"/>
    <x v="0"/>
    <x v="2"/>
    <n v="0.48799999999999999"/>
    <n v="336"/>
    <n v="82"/>
    <n v="36"/>
    <n v="1392"/>
    <s v="edwaran01"/>
    <x v="219"/>
    <n v="1.3187500000000001"/>
  </r>
  <r>
    <s v="De'Anthony Melton"/>
    <x v="6"/>
    <x v="0"/>
    <x v="2"/>
    <n v="0.54800000000000004"/>
    <n v="161"/>
    <n v="60"/>
    <n v="31"/>
    <n v="472"/>
    <s v="meltode01"/>
    <x v="220"/>
    <n v="2"/>
  </r>
  <r>
    <s v="Ja Morant"/>
    <x v="9"/>
    <x v="0"/>
    <x v="2"/>
    <n v="0.48699999999999999"/>
    <n v="252"/>
    <n v="57"/>
    <n v="13"/>
    <n v="1204"/>
    <s v="moranja01"/>
    <x v="221"/>
    <n v="2.2906403940886699"/>
  </r>
  <r>
    <s v="Tyus Jones"/>
    <x v="12"/>
    <x v="0"/>
    <x v="2"/>
    <n v="0.48499999999999999"/>
    <n v="140"/>
    <n v="64"/>
    <n v="6"/>
    <n v="442"/>
    <s v="jonesty01"/>
    <x v="222"/>
    <n v="5.395833333333333"/>
  </r>
  <r>
    <s v="De'Aaron Fox"/>
    <x v="10"/>
    <x v="0"/>
    <x v="2"/>
    <n v="0.52300000000000002"/>
    <n v="203"/>
    <n v="87"/>
    <n v="27"/>
    <n v="1461"/>
    <s v="foxde01"/>
    <x v="223"/>
    <n v="2.396551724137931"/>
  </r>
  <r>
    <s v="Luka Dončić"/>
    <x v="9"/>
    <x v="0"/>
    <x v="2"/>
    <n v="0.55000000000000004"/>
    <n v="527"/>
    <n v="64"/>
    <n v="36"/>
    <n v="1830"/>
    <s v="doncilu01"/>
    <x v="224"/>
    <n v="2.0177935943060499"/>
  </r>
  <r>
    <s v="Jarrett Culver"/>
    <x v="9"/>
    <x v="0"/>
    <x v="2"/>
    <n v="0.44900000000000001"/>
    <n v="104"/>
    <n v="17"/>
    <n v="9"/>
    <n v="180"/>
    <s v="culveja01"/>
    <x v="225"/>
    <n v="0.8571428571428571"/>
  </r>
  <r>
    <s v="Luke Kennard"/>
    <x v="12"/>
    <x v="0"/>
    <x v="2"/>
    <n v="0.59699999999999998"/>
    <n v="161"/>
    <n v="23"/>
    <n v="9"/>
    <n v="520"/>
    <s v="kennalu01"/>
    <x v="226"/>
    <n v="2.1666666666666665"/>
  </r>
  <r>
    <s v="Donovan Mitchell"/>
    <x v="12"/>
    <x v="0"/>
    <x v="2"/>
    <n v="0.52"/>
    <n v="235"/>
    <n v="52"/>
    <n v="15"/>
    <n v="1401"/>
    <s v="mitchdo01"/>
    <x v="227"/>
    <n v="1.8843537414965987"/>
  </r>
  <r>
    <s v="Shai Gilgeous-Alexander"/>
    <x v="6"/>
    <x v="0"/>
    <x v="2"/>
    <n v="0.57099999999999995"/>
    <n v="166"/>
    <n v="27"/>
    <n v="23"/>
    <n v="830"/>
    <s v="gilgesh01"/>
    <x v="228"/>
    <n v="1.9528301886792452"/>
  </r>
  <r>
    <s v="Jevon Carter"/>
    <x v="1"/>
    <x v="0"/>
    <x v="2"/>
    <n v="0.54700000000000004"/>
    <n v="92"/>
    <n v="29"/>
    <n v="9"/>
    <n v="248"/>
    <s v="carteje01"/>
    <x v="229"/>
    <n v="4.4375"/>
  </r>
  <r>
    <s v="Tyrese Haliburton"/>
    <x v="11"/>
    <x v="0"/>
    <x v="2"/>
    <n v="0.56899999999999995"/>
    <n v="173"/>
    <n v="77"/>
    <n v="28"/>
    <n v="753"/>
    <s v="halibty01"/>
    <x v="230"/>
    <n v="3.3586956521739131"/>
  </r>
  <r>
    <s v="Kira Lewis Jr."/>
    <x v="8"/>
    <x v="0"/>
    <x v="2"/>
    <n v="0.44500000000000001"/>
    <n v="71"/>
    <n v="38"/>
    <n v="10"/>
    <n v="343"/>
    <s v="lewiski01"/>
    <x v="231"/>
    <n v="3.6470588235294117"/>
  </r>
  <r>
    <s v="Wesley Matthews"/>
    <x v="3"/>
    <x v="0"/>
    <x v="2"/>
    <n v="0.48399999999999999"/>
    <n v="93"/>
    <n v="38"/>
    <n v="17"/>
    <n v="279"/>
    <s v="matthwe02"/>
    <x v="59"/>
    <n v="2.0769230769230771"/>
  </r>
  <r>
    <s v="Derrick White"/>
    <x v="4"/>
    <x v="0"/>
    <x v="2"/>
    <n v="0.503"/>
    <n v="107"/>
    <n v="26"/>
    <n v="36"/>
    <n v="553"/>
    <s v="whitede01"/>
    <x v="232"/>
    <n v="2.8222222222222224"/>
  </r>
  <r>
    <s v="Nickeil Alexander-Walker"/>
    <x v="6"/>
    <x v="0"/>
    <x v="2"/>
    <n v="0.502"/>
    <n v="144"/>
    <n v="47"/>
    <n v="22"/>
    <n v="508"/>
    <s v="alexani01"/>
    <x v="233"/>
    <n v="1.4782608695652173"/>
  </r>
  <r>
    <s v="Facundo Campazzo"/>
    <x v="5"/>
    <x v="0"/>
    <x v="2"/>
    <n v="0.502"/>
    <n v="134"/>
    <n v="79"/>
    <n v="14"/>
    <n v="396"/>
    <s v="campafa01"/>
    <x v="234"/>
    <n v="3.1780821917808217"/>
  </r>
  <r>
    <s v="Trey Burke"/>
    <x v="2"/>
    <x v="0"/>
    <x v="2"/>
    <n v="0.51"/>
    <n v="54"/>
    <n v="36"/>
    <n v="7"/>
    <n v="411"/>
    <s v="burketr01"/>
    <x v="36"/>
    <n v="2.4545454545454546"/>
  </r>
  <r>
    <s v="Lonnie Walker IV"/>
    <x v="6"/>
    <x v="0"/>
    <x v="2"/>
    <n v="0.502"/>
    <n v="155"/>
    <n v="29"/>
    <n v="15"/>
    <n v="669"/>
    <s v="walkelo01"/>
    <x v="106"/>
    <n v="1.5538461538461539"/>
  </r>
  <r>
    <s v="Josh Green"/>
    <x v="11"/>
    <x v="0"/>
    <x v="2"/>
    <n v="0.47299999999999998"/>
    <n v="78"/>
    <n v="16"/>
    <n v="3"/>
    <n v="101"/>
    <s v="greenjo02"/>
    <x v="235"/>
    <n v="1.6470588235294117"/>
  </r>
  <r>
    <s v="Alex Caruso"/>
    <x v="4"/>
    <x v="0"/>
    <x v="2"/>
    <n v="0.52600000000000002"/>
    <n v="170"/>
    <n v="64"/>
    <n v="15"/>
    <n v="370"/>
    <s v="carusal01"/>
    <x v="236"/>
    <n v="2.1052631578947367"/>
  </r>
  <r>
    <s v="Josh Okogie"/>
    <x v="6"/>
    <x v="0"/>
    <x v="2"/>
    <n v="0.45900000000000002"/>
    <n v="156"/>
    <n v="54"/>
    <n v="28"/>
    <n v="316"/>
    <s v="okogijo01"/>
    <x v="237"/>
    <n v="1.4651162790697674"/>
  </r>
  <r>
    <s v="Grayson Allen"/>
    <x v="1"/>
    <x v="0"/>
    <x v="2"/>
    <n v="0.54700000000000004"/>
    <n v="160"/>
    <n v="46"/>
    <n v="8"/>
    <n v="532"/>
    <s v="allengr01"/>
    <x v="238"/>
    <n v="2.25"/>
  </r>
  <r>
    <s v="Ty Jerome"/>
    <x v="10"/>
    <x v="0"/>
    <x v="2"/>
    <n v="0.56999999999999995"/>
    <n v="91"/>
    <n v="20"/>
    <n v="6"/>
    <n v="353"/>
    <s v="jeromty01"/>
    <x v="239"/>
    <n v="2.5531914893617023"/>
  </r>
  <r>
    <s v="Anfernee Simons"/>
    <x v="9"/>
    <x v="0"/>
    <x v="2"/>
    <n v="0.56899999999999995"/>
    <n v="140"/>
    <n v="18"/>
    <n v="8"/>
    <n v="502"/>
    <s v="simonan01"/>
    <x v="240"/>
    <n v="2.0697674418604652"/>
  </r>
  <r>
    <s v="John Konchar"/>
    <x v="12"/>
    <x v="0"/>
    <x v="2"/>
    <n v="0.57599999999999996"/>
    <n v="128"/>
    <n v="30"/>
    <n v="9"/>
    <n v="184"/>
    <s v="konchjo01"/>
    <x v="241"/>
    <n v="2.6111111111111112"/>
  </r>
  <r>
    <s v="Jordan Poole"/>
    <x v="9"/>
    <x v="0"/>
    <x v="2"/>
    <n v="0.53500000000000003"/>
    <n v="92"/>
    <n v="26"/>
    <n v="9"/>
    <n v="612"/>
    <s v="poolejo01"/>
    <x v="242"/>
    <n v="1.9411764705882353"/>
  </r>
  <r>
    <s v="Théo Maledon"/>
    <x v="8"/>
    <x v="0"/>
    <x v="2"/>
    <n v="0.45400000000000001"/>
    <n v="211"/>
    <n v="56"/>
    <n v="11"/>
    <n v="658"/>
    <s v="maledth01"/>
    <x v="113"/>
    <n v="1.6099290780141844"/>
  </r>
  <r>
    <s v="Cameron Payne"/>
    <x v="4"/>
    <x v="0"/>
    <x v="2"/>
    <n v="0.57599999999999996"/>
    <n v="144"/>
    <n v="36"/>
    <n v="16"/>
    <n v="505"/>
    <s v="payneca01"/>
    <x v="243"/>
    <n v="3.6166666666666667"/>
  </r>
  <r>
    <s v="Desmond Bane"/>
    <x v="6"/>
    <x v="0"/>
    <x v="2"/>
    <n v="0.58599999999999997"/>
    <n v="210"/>
    <n v="41"/>
    <n v="16"/>
    <n v="625"/>
    <s v="banede01"/>
    <x v="244"/>
    <n v="2"/>
  </r>
  <r>
    <s v="Damion Lee"/>
    <x v="2"/>
    <x v="0"/>
    <x v="2"/>
    <n v="0.60799999999999998"/>
    <n v="180"/>
    <n v="38"/>
    <n v="8"/>
    <n v="373"/>
    <s v="leeda03"/>
    <x v="118"/>
    <n v="2.4333333333333331"/>
  </r>
  <r>
    <s v="PJ Dozier"/>
    <x v="12"/>
    <x v="0"/>
    <x v="2"/>
    <n v="0.48299999999999998"/>
    <n v="182"/>
    <n v="31"/>
    <n v="22"/>
    <n v="385"/>
    <s v="doziepj01"/>
    <x v="118"/>
    <n v="2"/>
  </r>
  <r>
    <s v="Kevin Porter Jr."/>
    <x v="11"/>
    <x v="0"/>
    <x v="2"/>
    <n v="0.49299999999999999"/>
    <n v="99"/>
    <n v="19"/>
    <n v="8"/>
    <n v="431"/>
    <s v="porteke02"/>
    <x v="245"/>
    <n v="1.8021978021978022"/>
  </r>
  <r>
    <s v="Jalen Brunson"/>
    <x v="12"/>
    <x v="0"/>
    <x v="2"/>
    <n v="0.58799999999999997"/>
    <n v="231"/>
    <n v="35"/>
    <n v="1"/>
    <n v="857"/>
    <s v="brunsja01"/>
    <x v="64"/>
    <n v="2.9874999999999998"/>
  </r>
  <r>
    <s v="Isaiah Thomas"/>
    <x v="7"/>
    <x v="0"/>
    <x v="2"/>
    <n v="0.38900000000000001"/>
    <n v="4"/>
    <n v="1"/>
    <n v="0"/>
    <n v="23"/>
    <s v="thomais02"/>
    <x v="24"/>
    <n v="0.83333333333333337"/>
  </r>
  <r>
    <s v="Langston Galloway"/>
    <x v="5"/>
    <x v="0"/>
    <x v="2"/>
    <n v="0.57099999999999995"/>
    <n v="42"/>
    <n v="8"/>
    <n v="0"/>
    <n v="190"/>
    <s v="gallola01"/>
    <x v="24"/>
    <n v="2"/>
  </r>
  <r>
    <s v="E'Twaun Moore"/>
    <x v="7"/>
    <x v="0"/>
    <x v="2"/>
    <n v="0.5"/>
    <n v="45"/>
    <n v="15"/>
    <n v="5"/>
    <n v="133"/>
    <s v="mooreet01"/>
    <x v="24"/>
    <n v="1.7391304347826086"/>
  </r>
  <r>
    <s v="Sterling Brown"/>
    <x v="1"/>
    <x v="0"/>
    <x v="2"/>
    <n v="0.58399999999999996"/>
    <n v="224"/>
    <n v="38"/>
    <n v="12"/>
    <n v="416"/>
    <s v="brownst02"/>
    <x v="24"/>
    <n v="1.7560975609756098"/>
  </r>
  <r>
    <s v="Reggie Jackson"/>
    <x v="15"/>
    <x v="0"/>
    <x v="2"/>
    <n v="0.55400000000000005"/>
    <n v="192"/>
    <n v="41"/>
    <n v="7"/>
    <n v="715"/>
    <s v="jacksre01"/>
    <x v="24"/>
    <n v="2.7702702702702702"/>
  </r>
  <r>
    <s v="Monte Morris"/>
    <x v="1"/>
    <x v="0"/>
    <x v="2"/>
    <n v="0.54700000000000004"/>
    <n v="96"/>
    <n v="34"/>
    <n v="13"/>
    <n v="481"/>
    <s v="morrimo01"/>
    <x v="246"/>
    <n v="4.4117647058823533"/>
  </r>
  <r>
    <s v="Miye Oni"/>
    <x v="10"/>
    <x v="0"/>
    <x v="2"/>
    <n v="0.505"/>
    <n v="84"/>
    <n v="11"/>
    <n v="8"/>
    <n v="105"/>
    <s v="onimi01"/>
    <x v="25"/>
    <n v="1.75"/>
  </r>
  <r>
    <s v="Mychal Mulder"/>
    <x v="4"/>
    <x v="0"/>
    <x v="2"/>
    <n v="0.60899999999999999"/>
    <n v="60"/>
    <n v="12"/>
    <n v="12"/>
    <n v="337"/>
    <s v="muldemy01"/>
    <x v="25"/>
    <n v="1.625"/>
  </r>
  <r>
    <s v="Jaylen Nowell"/>
    <x v="9"/>
    <x v="0"/>
    <x v="2"/>
    <n v="0.499"/>
    <n v="95"/>
    <n v="22"/>
    <n v="12"/>
    <n v="379"/>
    <s v="nowelja01"/>
    <x v="25"/>
    <n v="2.2142857142857144"/>
  </r>
  <r>
    <s v="Terance Mann"/>
    <x v="12"/>
    <x v="0"/>
    <x v="2"/>
    <n v="0.56299999999999994"/>
    <n v="242"/>
    <n v="29"/>
    <n v="13"/>
    <n v="472"/>
    <s v="mannte01"/>
    <x v="25"/>
    <n v="2.6"/>
  </r>
  <r>
    <s v="Luguentz Dort"/>
    <x v="9"/>
    <x v="0"/>
    <x v="2"/>
    <n v="0.47499999999999998"/>
    <n v="189"/>
    <n v="45"/>
    <n v="19"/>
    <n v="729"/>
    <s v="dortlu01"/>
    <x v="25"/>
    <n v="1.1139240506329113"/>
  </r>
  <r>
    <s v="Talen Horton-Tucker"/>
    <x v="11"/>
    <x v="0"/>
    <x v="2"/>
    <n v="0.496"/>
    <n v="169"/>
    <n v="63"/>
    <n v="21"/>
    <n v="585"/>
    <s v="hortota01"/>
    <x v="25"/>
    <n v="1.7238095238095239"/>
  </r>
  <r>
    <s v="Tyrell Terry"/>
    <x v="11"/>
    <x v="0"/>
    <x v="2"/>
    <n v="0.313"/>
    <n v="6"/>
    <n v="5"/>
    <n v="0"/>
    <n v="11"/>
    <s v="terryty01"/>
    <x v="247"/>
    <n v="3"/>
  </r>
  <r>
    <s v="Jahmi'us Ramsey"/>
    <x v="8"/>
    <x v="0"/>
    <x v="2"/>
    <n v="0.46100000000000002"/>
    <n v="10"/>
    <n v="4"/>
    <n v="1"/>
    <n v="40"/>
    <s v="ramseja01"/>
    <x v="39"/>
    <n v="2"/>
  </r>
  <r>
    <s v="Tre Jones"/>
    <x v="9"/>
    <x v="0"/>
    <x v="2"/>
    <n v="0.49399999999999999"/>
    <n v="21"/>
    <n v="8"/>
    <n v="0"/>
    <n v="94"/>
    <s v="jonestr01"/>
    <x v="26"/>
    <n v="3"/>
  </r>
  <r>
    <s v="Ty-Shon Alexander"/>
    <x v="6"/>
    <x v="0"/>
    <x v="2"/>
    <n v="0.33300000000000002"/>
    <n v="10"/>
    <n v="0"/>
    <n v="1"/>
    <n v="9"/>
    <s v="alexaty01"/>
    <x v="28"/>
    <n v="2"/>
  </r>
  <r>
    <s v="Nate Hinton"/>
    <x v="9"/>
    <x v="0"/>
    <x v="2"/>
    <n v="0.40500000000000003"/>
    <n v="9"/>
    <n v="7"/>
    <n v="2"/>
    <n v="41"/>
    <s v="hintona01"/>
    <x v="28"/>
    <n v="1.6"/>
  </r>
  <r>
    <s v="Jay Scrubb"/>
    <x v="11"/>
    <x v="0"/>
    <x v="2"/>
    <n v="0.41699999999999998"/>
    <n v="14"/>
    <n v="4"/>
    <n v="0"/>
    <n v="35"/>
    <s v="scrubja01"/>
    <x v="28"/>
    <n v="0.14285714285714285"/>
  </r>
  <r>
    <s v="Quinndary Weatherspoon"/>
    <x v="12"/>
    <x v="0"/>
    <x v="2"/>
    <n v="0.47099999999999997"/>
    <n v="11"/>
    <n v="8"/>
    <n v="2"/>
    <n v="46"/>
    <s v="weathqu01"/>
    <x v="28"/>
    <n v="0.8"/>
  </r>
  <r>
    <s v="Kyle Guy"/>
    <x v="10"/>
    <x v="0"/>
    <x v="2"/>
    <n v="0.40300000000000002"/>
    <n v="35"/>
    <n v="6"/>
    <n v="0"/>
    <n v="87"/>
    <s v="guyky01"/>
    <x v="28"/>
    <n v="2.9090909090909092"/>
  </r>
  <r>
    <s v="Amir Coffey"/>
    <x v="10"/>
    <x v="0"/>
    <x v="2"/>
    <n v="0.54900000000000004"/>
    <n v="44"/>
    <n v="10"/>
    <n v="0"/>
    <n v="140"/>
    <s v="coffeam01"/>
    <x v="28"/>
    <n v="1.4666666666666666"/>
  </r>
  <r>
    <s v="Markus Howard"/>
    <x v="9"/>
    <x v="0"/>
    <x v="2"/>
    <n v="0.46200000000000002"/>
    <n v="21"/>
    <n v="4"/>
    <n v="1"/>
    <n v="105"/>
    <s v="howarma02"/>
    <x v="28"/>
    <n v="1"/>
  </r>
  <r>
    <s v="Trent Forrest"/>
    <x v="6"/>
    <x v="0"/>
    <x v="2"/>
    <n v="0.48599999999999999"/>
    <n v="44"/>
    <n v="9"/>
    <n v="4"/>
    <n v="88"/>
    <s v="forretr01"/>
    <x v="28"/>
    <n v="2.1428571428571428"/>
  </r>
  <r>
    <s v="Armoni Brooks"/>
    <x v="6"/>
    <x v="0"/>
    <x v="2"/>
    <n v="0.56299999999999994"/>
    <n v="68"/>
    <n v="12"/>
    <n v="5"/>
    <n v="223"/>
    <s v="brookar01"/>
    <x v="28"/>
    <n v="1.3636363636363635"/>
  </r>
  <r>
    <s v="Nico Mannion"/>
    <x v="8"/>
    <x v="0"/>
    <x v="2"/>
    <n v="0.439"/>
    <n v="46"/>
    <n v="16"/>
    <n v="1"/>
    <n v="123"/>
    <s v="mannini01"/>
    <x v="28"/>
    <n v="2.2580645161290325"/>
  </r>
  <r>
    <s v="Jordan McLaughlin"/>
    <x v="12"/>
    <x v="0"/>
    <x v="2"/>
    <n v="0.48099999999999998"/>
    <n v="108"/>
    <n v="51"/>
    <n v="6"/>
    <n v="256"/>
    <s v="mclaujo01"/>
    <x v="28"/>
    <n v="3.784313725490196"/>
  </r>
  <r>
    <s v="Juan Toscano-Anderson"/>
    <x v="0"/>
    <x v="0"/>
    <x v="2"/>
    <n v="0.66700000000000004"/>
    <n v="235"/>
    <n v="41"/>
    <n v="26"/>
    <n v="301"/>
    <s v="toscaju01"/>
    <x v="248"/>
    <n v="2.459016393442623"/>
  </r>
  <r>
    <s v="Tim Frazier"/>
    <x v="15"/>
    <x v="0"/>
    <x v="2"/>
    <n v="0.15"/>
    <n v="8"/>
    <n v="2"/>
    <n v="1"/>
    <n v="8"/>
    <s v="fraziti01"/>
    <x v="249"/>
    <n v="4"/>
  </r>
  <r>
    <s v="Khyri Thomas"/>
    <x v="12"/>
    <x v="0"/>
    <x v="2"/>
    <n v="0.55300000000000005"/>
    <n v="18"/>
    <n v="9"/>
    <n v="6"/>
    <n v="82"/>
    <s v="thomakh01"/>
    <x v="250"/>
    <n v="4.166666666666667"/>
  </r>
  <r>
    <s v="Charlie Brown Jr."/>
    <x v="10"/>
    <x v="0"/>
    <x v="2"/>
    <n v="0.36"/>
    <n v="17"/>
    <n v="4"/>
    <n v="2"/>
    <n v="40"/>
    <s v="brownch02"/>
    <x v="251"/>
    <n v="1.5"/>
  </r>
  <r>
    <s v="Gary Payton II"/>
    <x v="2"/>
    <x v="0"/>
    <x v="2"/>
    <n v="0.84599999999999997"/>
    <n v="11"/>
    <n v="6"/>
    <n v="1"/>
    <n v="25"/>
    <s v="paytoga02"/>
    <x v="252"/>
    <n v="1"/>
  </r>
  <r>
    <s v="James Harden"/>
    <x v="7"/>
    <x v="1"/>
    <x v="2"/>
    <n v="0.54800000000000004"/>
    <n v="348"/>
    <n v="53"/>
    <n v="33"/>
    <n v="1083"/>
    <s v="hardeja01"/>
    <x v="200"/>
    <n v="2.6836158192090394"/>
  </r>
  <r>
    <s v="Victor Oladipo"/>
    <x v="2"/>
    <x v="1"/>
    <x v="2"/>
    <n v="0.47599999999999998"/>
    <n v="160"/>
    <n v="46"/>
    <n v="14"/>
    <n v="652"/>
    <s v="oladivi01"/>
    <x v="253"/>
    <n v="1.8192771084337349"/>
  </r>
  <r>
    <s v="Gary Harris"/>
    <x v="4"/>
    <x v="1"/>
    <x v="2"/>
    <n v="0.47"/>
    <n v="79"/>
    <n v="28"/>
    <n v="11"/>
    <n v="388"/>
    <s v="harriga01"/>
    <x v="254"/>
    <n v="2.1081081081081079"/>
  </r>
  <r>
    <s v="Caris LeVert"/>
    <x v="4"/>
    <x v="1"/>
    <x v="2"/>
    <n v="0.49299999999999999"/>
    <n v="214"/>
    <n v="66"/>
    <n v="30"/>
    <n v="948"/>
    <s v="leverca01"/>
    <x v="255"/>
    <n v="2.4019607843137254"/>
  </r>
  <r>
    <s v="JJ Redick"/>
    <x v="14"/>
    <x v="1"/>
    <x v="2"/>
    <n v="0.52100000000000002"/>
    <n v="64"/>
    <n v="11"/>
    <n v="3"/>
    <n v="327"/>
    <s v="redicjj01"/>
    <x v="256"/>
    <n v="1.4166666666666667"/>
  </r>
  <r>
    <s v="Cory Joseph"/>
    <x v="5"/>
    <x v="1"/>
    <x v="2"/>
    <n v="0.52200000000000002"/>
    <n v="159"/>
    <n v="61"/>
    <n v="18"/>
    <n v="517"/>
    <s v="josepco01"/>
    <x v="257"/>
    <n v="2.6962025316455698"/>
  </r>
  <r>
    <s v="Norman Powell"/>
    <x v="0"/>
    <x v="1"/>
    <x v="2"/>
    <n v="0.56999999999999995"/>
    <n v="215"/>
    <n v="82"/>
    <n v="18"/>
    <n v="1283"/>
    <s v="powelno01"/>
    <x v="218"/>
    <n v="1.0840336134453781"/>
  </r>
  <r>
    <s v="George Hill"/>
    <x v="3"/>
    <x v="1"/>
    <x v="2"/>
    <n v="0.56100000000000005"/>
    <n v="61"/>
    <n v="23"/>
    <n v="5"/>
    <n v="261"/>
    <s v="hillge01"/>
    <x v="258"/>
    <n v="2.3548387096774195"/>
  </r>
  <r>
    <s v="Delon Wright"/>
    <x v="2"/>
    <x v="1"/>
    <x v="2"/>
    <n v="0.52500000000000002"/>
    <n v="269"/>
    <n v="101"/>
    <n v="30"/>
    <n v="645"/>
    <s v="wrighde01"/>
    <x v="259"/>
    <n v="3.3493975903614457"/>
  </r>
  <r>
    <s v="Lou Williams"/>
    <x v="3"/>
    <x v="1"/>
    <x v="2"/>
    <n v="0.46400000000000002"/>
    <n v="138"/>
    <n v="47"/>
    <n v="6"/>
    <n v="749"/>
    <s v="willilo02"/>
    <x v="52"/>
    <n v="2.0833333333333335"/>
  </r>
  <r>
    <s v="Derrick Rose"/>
    <x v="13"/>
    <x v="1"/>
    <x v="2"/>
    <n v="0.51100000000000001"/>
    <n v="130"/>
    <n v="49"/>
    <n v="19"/>
    <n v="734"/>
    <s v="rosede01"/>
    <x v="260"/>
    <n v="2.6794871794871793"/>
  </r>
  <r>
    <s v="Rajon Rondo"/>
    <x v="3"/>
    <x v="1"/>
    <x v="2"/>
    <n v="0.52600000000000002"/>
    <n v="110"/>
    <n v="37"/>
    <n v="4"/>
    <n v="242"/>
    <s v="rondora01"/>
    <x v="261"/>
    <n v="2.518987341772152"/>
  </r>
  <r>
    <s v="D.J. Augustin"/>
    <x v="17"/>
    <x v="1"/>
    <x v="2"/>
    <n v="0.51500000000000001"/>
    <n v="94"/>
    <n v="28"/>
    <n v="1"/>
    <n v="438"/>
    <s v="augusdj01"/>
    <x v="262"/>
    <n v="2.8923076923076922"/>
  </r>
  <r>
    <s v="Dennis Smith Jr."/>
    <x v="10"/>
    <x v="1"/>
    <x v="2"/>
    <n v="0.46600000000000003"/>
    <n v="55"/>
    <n v="23"/>
    <n v="14"/>
    <n v="154"/>
    <s v="smithde03"/>
    <x v="263"/>
    <n v="2.9615384615384617"/>
  </r>
  <r>
    <s v="Avery Bradley"/>
    <x v="15"/>
    <x v="1"/>
    <x v="2"/>
    <n v="0.47099999999999997"/>
    <n v="57"/>
    <n v="21"/>
    <n v="3"/>
    <n v="173"/>
    <s v="bradlav01"/>
    <x v="264"/>
    <n v="1.6428571428571428"/>
  </r>
  <r>
    <s v="Ben McLemore"/>
    <x v="0"/>
    <x v="1"/>
    <x v="2"/>
    <n v="0.503"/>
    <n v="100"/>
    <n v="23"/>
    <n v="9"/>
    <n v="406"/>
    <s v="mclembe01"/>
    <x v="22"/>
    <n v="0.9285714285714286"/>
  </r>
  <r>
    <s v="Brad Wanamaker"/>
    <x v="7"/>
    <x v="1"/>
    <x v="2"/>
    <n v="0.41099999999999998"/>
    <n v="105"/>
    <n v="43"/>
    <n v="11"/>
    <n v="336"/>
    <s v="wanambr01"/>
    <x v="37"/>
    <n v="2.4507042253521125"/>
  </r>
  <r>
    <s v="R.J. Hampton"/>
    <x v="8"/>
    <x v="1"/>
    <x v="2"/>
    <n v="0.47799999999999998"/>
    <n v="179"/>
    <n v="21"/>
    <n v="10"/>
    <n v="354"/>
    <s v="hamptrj01"/>
    <x v="265"/>
    <n v="1.6415094339622642"/>
  </r>
  <r>
    <s v="Gary Trent Jr."/>
    <x v="6"/>
    <x v="1"/>
    <x v="2"/>
    <n v="0.51300000000000001"/>
    <n v="152"/>
    <n v="56"/>
    <n v="10"/>
    <n v="888"/>
    <s v="trentga02"/>
    <x v="64"/>
    <n v="1.8604651162790697"/>
  </r>
  <r>
    <s v="Quinn Cook"/>
    <x v="0"/>
    <x v="1"/>
    <x v="2"/>
    <n v="0.50700000000000001"/>
    <n v="17"/>
    <n v="4"/>
    <n v="1"/>
    <n v="76"/>
    <s v="cookqu01"/>
    <x v="24"/>
    <n v="2.5714285714285716"/>
  </r>
  <r>
    <s v="Shaquille Harrison"/>
    <x v="0"/>
    <x v="1"/>
    <x v="2"/>
    <n v="0.35299999999999998"/>
    <n v="48"/>
    <n v="17"/>
    <n v="5"/>
    <n v="73"/>
    <s v="harrish01"/>
    <x v="24"/>
    <n v="2.2727272727272729"/>
  </r>
  <r>
    <s v="Matt Thomas"/>
    <x v="4"/>
    <x v="1"/>
    <x v="2"/>
    <n v="0.5"/>
    <n v="44"/>
    <n v="4"/>
    <n v="0"/>
    <n v="139"/>
    <s v="thomama02"/>
    <x v="25"/>
    <n v="1.3571428571428572"/>
  </r>
  <r>
    <s v="Terence Davis"/>
    <x v="10"/>
    <x v="1"/>
    <x v="2"/>
    <n v="0.53500000000000003"/>
    <n v="154"/>
    <n v="44"/>
    <n v="14"/>
    <n v="533"/>
    <s v="daviste02"/>
    <x v="25"/>
    <n v="1.3174603174603174"/>
  </r>
  <r>
    <s v="DaQuan Jeffries"/>
    <x v="10"/>
    <x v="1"/>
    <x v="2"/>
    <n v="0.5"/>
    <n v="71"/>
    <n v="15"/>
    <n v="10"/>
    <n v="127"/>
    <s v="jeffrda01"/>
    <x v="122"/>
    <n v="1.5714285714285714"/>
  </r>
  <r>
    <s v="Jeff Teague"/>
    <x v="13"/>
    <x v="1"/>
    <x v="2"/>
    <n v="0.496"/>
    <n v="88"/>
    <n v="34"/>
    <n v="12"/>
    <n v="371"/>
    <s v="teaguje01"/>
    <x v="266"/>
    <n v="2.0625"/>
  </r>
  <r>
    <s v="Sindarius Thornwell"/>
    <x v="4"/>
    <x v="1"/>
    <x v="2"/>
    <n v="0.40200000000000002"/>
    <n v="18"/>
    <n v="13"/>
    <n v="2"/>
    <n v="41"/>
    <s v="thornsi01"/>
    <x v="28"/>
    <n v="3"/>
  </r>
  <r>
    <s v="Brodric Thomas"/>
    <x v="12"/>
    <x v="1"/>
    <x v="2"/>
    <n v="0.435"/>
    <n v="53"/>
    <n v="15"/>
    <n v="10"/>
    <n v="125"/>
    <s v="thomabr01"/>
    <x v="28"/>
    <n v="1.3636363636363635"/>
  </r>
  <r>
    <s v="Yogi Ferrell"/>
    <x v="0"/>
    <x v="1"/>
    <x v="2"/>
    <n v="0.43"/>
    <n v="19"/>
    <n v="7"/>
    <n v="3"/>
    <n v="56"/>
    <s v="ferreyo01"/>
    <x v="267"/>
    <n v="7.333333333333333"/>
  </r>
  <r>
    <s v="Austin Rivers"/>
    <x v="2"/>
    <x v="1"/>
    <x v="2"/>
    <n v="0.53700000000000003"/>
    <n v="82"/>
    <n v="30"/>
    <n v="2"/>
    <n v="285"/>
    <s v="riverau01"/>
    <x v="268"/>
    <n v="2.25"/>
  </r>
  <r>
    <s v="Russell Westbrook"/>
    <x v="13"/>
    <x v="2"/>
    <x v="2"/>
    <n v="0.47399999999999998"/>
    <n v="750"/>
    <n v="89"/>
    <n v="23"/>
    <n v="1445"/>
    <s v="westbru01"/>
    <x v="199"/>
    <n v="2.4455128205128207"/>
  </r>
  <r>
    <s v="Kemba Walker"/>
    <x v="15"/>
    <x v="2"/>
    <x v="2"/>
    <n v="0.51400000000000001"/>
    <n v="170"/>
    <n v="48"/>
    <n v="12"/>
    <n v="829"/>
    <s v="walkeke02"/>
    <x v="70"/>
    <n v="2.4090909090909092"/>
  </r>
  <r>
    <s v="Kyrie Irving"/>
    <x v="2"/>
    <x v="2"/>
    <x v="2"/>
    <n v="0.57599999999999996"/>
    <n v="257"/>
    <n v="76"/>
    <n v="37"/>
    <n v="1451"/>
    <s v="irvinky01"/>
    <x v="269"/>
    <n v="2.4923076923076923"/>
  </r>
  <r>
    <s v="Ben Simmons"/>
    <x v="12"/>
    <x v="2"/>
    <x v="2"/>
    <n v="0.56000000000000005"/>
    <n v="417"/>
    <n v="93"/>
    <n v="35"/>
    <n v="829"/>
    <s v="simmobe01"/>
    <x v="151"/>
    <n v="2.3179190751445087"/>
  </r>
  <r>
    <s v="Kyle Lowry"/>
    <x v="3"/>
    <x v="2"/>
    <x v="2"/>
    <n v="0.54600000000000004"/>
    <n v="247"/>
    <n v="45"/>
    <n v="14"/>
    <n v="791"/>
    <s v="lowryky01"/>
    <x v="270"/>
    <n v="2.6825396825396823"/>
  </r>
  <r>
    <s v="Bradley Beal"/>
    <x v="0"/>
    <x v="2"/>
    <x v="2"/>
    <n v="0.53200000000000003"/>
    <n v="283"/>
    <n v="69"/>
    <n v="22"/>
    <n v="1878"/>
    <s v="bealbr01"/>
    <x v="271"/>
    <n v="1.4171122994652405"/>
  </r>
  <r>
    <s v="Jrue Holiday"/>
    <x v="15"/>
    <x v="2"/>
    <x v="2"/>
    <n v="0.56999999999999995"/>
    <n v="268"/>
    <n v="96"/>
    <n v="37"/>
    <n v="1046"/>
    <s v="holidjr01"/>
    <x v="272"/>
    <n v="2.811023622047244"/>
  </r>
  <r>
    <s v="Jaylen Brown"/>
    <x v="12"/>
    <x v="2"/>
    <x v="2"/>
    <n v="0.55800000000000005"/>
    <n v="347"/>
    <n v="72"/>
    <n v="32"/>
    <n v="1430"/>
    <s v="brownja02"/>
    <x v="273"/>
    <n v="1.2341772151898733"/>
  </r>
  <r>
    <s v="Fred VanVleet"/>
    <x v="4"/>
    <x v="2"/>
    <x v="2"/>
    <n v="0.48899999999999999"/>
    <n v="220"/>
    <n v="87"/>
    <n v="37"/>
    <n v="1019"/>
    <s v="vanvlfr01"/>
    <x v="274"/>
    <n v="3.4526315789473685"/>
  </r>
  <r>
    <s v="Malcolm Brogdon"/>
    <x v="2"/>
    <x v="2"/>
    <x v="2"/>
    <n v="0.52700000000000002"/>
    <n v="294"/>
    <n v="49"/>
    <n v="15"/>
    <n v="1186"/>
    <s v="brogdma01"/>
    <x v="275"/>
    <n v="2.8608695652173912"/>
  </r>
  <r>
    <s v="Zach LaVine"/>
    <x v="1"/>
    <x v="2"/>
    <x v="2"/>
    <n v="0.59599999999999997"/>
    <n v="289"/>
    <n v="46"/>
    <n v="27"/>
    <n v="1591"/>
    <s v="lavinza01"/>
    <x v="155"/>
    <n v="1.3891625615763548"/>
  </r>
  <r>
    <s v="Terry Rozier"/>
    <x v="4"/>
    <x v="2"/>
    <x v="2"/>
    <n v="0.54800000000000004"/>
    <n v="302"/>
    <n v="87"/>
    <n v="26"/>
    <n v="1407"/>
    <s v="roziete01"/>
    <x v="157"/>
    <n v="2.2890625"/>
  </r>
  <r>
    <s v="Bogdan Bogdanović"/>
    <x v="2"/>
    <x v="2"/>
    <x v="2"/>
    <n v="0.60199999999999998"/>
    <n v="160"/>
    <n v="49"/>
    <n v="13"/>
    <n v="720"/>
    <s v="bogdabo01"/>
    <x v="45"/>
    <n v="2.7222222222222223"/>
  </r>
  <r>
    <s v="Goran Dragić"/>
    <x v="3"/>
    <x v="2"/>
    <x v="2"/>
    <n v="0.51400000000000001"/>
    <n v="169"/>
    <n v="33"/>
    <n v="8"/>
    <n v="672"/>
    <s v="dragigo01"/>
    <x v="45"/>
    <n v="1.8559322033898304"/>
  </r>
  <r>
    <s v="Terrence Ross"/>
    <x v="5"/>
    <x v="2"/>
    <x v="2"/>
    <n v="0.48499999999999999"/>
    <n v="158"/>
    <n v="47"/>
    <n v="21"/>
    <n v="717"/>
    <s v="rosste01"/>
    <x v="276"/>
    <n v="1.4594594594594594"/>
  </r>
  <r>
    <s v="Marcus Smart"/>
    <x v="4"/>
    <x v="2"/>
    <x v="2"/>
    <n v="0.48899999999999999"/>
    <n v="167"/>
    <n v="72"/>
    <n v="23"/>
    <n v="627"/>
    <s v="smartma01"/>
    <x v="277"/>
    <n v="2.84375"/>
  </r>
  <r>
    <s v="Markelle Fultz"/>
    <x v="6"/>
    <x v="2"/>
    <x v="2"/>
    <n v="0.41299999999999998"/>
    <n v="25"/>
    <n v="8"/>
    <n v="2"/>
    <n v="103"/>
    <s v="fultzma01"/>
    <x v="278"/>
    <n v="2.3888888888888888"/>
  </r>
  <r>
    <s v="Tony Snell"/>
    <x v="5"/>
    <x v="2"/>
    <x v="2"/>
    <n v="0.69599999999999995"/>
    <n v="112"/>
    <n v="13"/>
    <n v="11"/>
    <n v="249"/>
    <s v="snellto01"/>
    <x v="279"/>
    <n v="2.8095238095238093"/>
  </r>
  <r>
    <s v="Spencer Dinwiddie"/>
    <x v="0"/>
    <x v="2"/>
    <x v="2"/>
    <n v="0.438"/>
    <n v="13"/>
    <n v="2"/>
    <n v="1"/>
    <n v="20"/>
    <s v="dinwisp01"/>
    <x v="280"/>
    <n v="1.8"/>
  </r>
  <r>
    <s v="Jeremy Lamb"/>
    <x v="2"/>
    <x v="2"/>
    <x v="2"/>
    <n v="0.52900000000000003"/>
    <n v="131"/>
    <n v="34"/>
    <n v="23"/>
    <n v="363"/>
    <s v="lambje01"/>
    <x v="281"/>
    <n v="2.4090909090909092"/>
  </r>
  <r>
    <s v="Tomáš Satoranský"/>
    <x v="5"/>
    <x v="2"/>
    <x v="2"/>
    <n v="0.57799999999999996"/>
    <n v="142"/>
    <n v="40"/>
    <n v="14"/>
    <n v="447"/>
    <s v="satorto01"/>
    <x v="282"/>
    <n v="2.8229166666666665"/>
  </r>
  <r>
    <s v="Danté Exum"/>
    <x v="1"/>
    <x v="2"/>
    <x v="2"/>
    <n v="0.42299999999999999"/>
    <n v="17"/>
    <n v="4"/>
    <n v="2"/>
    <n v="23"/>
    <s v="exumda01"/>
    <x v="283"/>
    <n v="1.8571428571428572"/>
  </r>
  <r>
    <s v="RJ Barrett"/>
    <x v="11"/>
    <x v="2"/>
    <x v="2"/>
    <n v="0.499"/>
    <n v="414"/>
    <n v="53"/>
    <n v="20"/>
    <n v="1264"/>
    <s v="barrerj01"/>
    <x v="284"/>
    <n v="1.5611510791366907"/>
  </r>
  <r>
    <s v="LaMelo Ball"/>
    <x v="8"/>
    <x v="2"/>
    <x v="2"/>
    <n v="0.504"/>
    <n v="302"/>
    <n v="81"/>
    <n v="18"/>
    <n v="803"/>
    <s v="ballla01"/>
    <x v="285"/>
    <n v="2.1586206896551725"/>
  </r>
  <r>
    <s v="Seth Curry"/>
    <x v="15"/>
    <x v="2"/>
    <x v="2"/>
    <n v="0.58199999999999996"/>
    <n v="136"/>
    <n v="44"/>
    <n v="8"/>
    <n v="711"/>
    <s v="curryse01"/>
    <x v="286"/>
    <n v="2.3846153846153846"/>
  </r>
  <r>
    <s v="Darius Garland"/>
    <x v="9"/>
    <x v="2"/>
    <x v="2"/>
    <n v="0.51700000000000002"/>
    <n v="129"/>
    <n v="66"/>
    <n v="6"/>
    <n v="941"/>
    <s v="garlada01"/>
    <x v="287"/>
    <n v="2.0060975609756095"/>
  </r>
  <r>
    <s v="Trae Young"/>
    <x v="6"/>
    <x v="2"/>
    <x v="2"/>
    <n v="0.499"/>
    <n v="245"/>
    <n v="53"/>
    <n v="12"/>
    <n v="1594"/>
    <s v="youngtr01"/>
    <x v="288"/>
    <n v="2.2758620689655173"/>
  </r>
  <r>
    <s v="Isaac Okoro"/>
    <x v="11"/>
    <x v="2"/>
    <x v="2"/>
    <n v="0.47599999999999998"/>
    <n v="206"/>
    <n v="62"/>
    <n v="24"/>
    <n v="646"/>
    <s v="okorois01"/>
    <x v="289"/>
    <n v="1.4883720930232558"/>
  </r>
  <r>
    <s v="Frank Ntilikina"/>
    <x v="6"/>
    <x v="2"/>
    <x v="2"/>
    <n v="0.51300000000000001"/>
    <n v="31"/>
    <n v="18"/>
    <n v="4"/>
    <n v="89"/>
    <s v="ntilila01"/>
    <x v="290"/>
    <n v="1.7272727272727273"/>
  </r>
  <r>
    <s v="Ish Smith"/>
    <x v="13"/>
    <x v="2"/>
    <x v="2"/>
    <n v="0.46500000000000002"/>
    <n v="150"/>
    <n v="32"/>
    <n v="13"/>
    <n v="295"/>
    <s v="smithis01"/>
    <x v="291"/>
    <n v="4.1951219512195124"/>
  </r>
  <r>
    <s v="Alec Burks"/>
    <x v="5"/>
    <x v="2"/>
    <x v="2"/>
    <n v="0.52200000000000002"/>
    <n v="227"/>
    <n v="31"/>
    <n v="14"/>
    <n v="623"/>
    <s v="burksal01"/>
    <x v="291"/>
    <n v="2.1836734693877551"/>
  </r>
  <r>
    <s v="Justin Holiday"/>
    <x v="7"/>
    <x v="2"/>
    <x v="2"/>
    <n v="0.55100000000000005"/>
    <n v="256"/>
    <n v="74"/>
    <n v="41"/>
    <n v="756"/>
    <s v="holidju01"/>
    <x v="292"/>
    <n v="2.2037037037037037"/>
  </r>
  <r>
    <s v="Coby White"/>
    <x v="11"/>
    <x v="2"/>
    <x v="2"/>
    <n v="0.50600000000000001"/>
    <n v="284"/>
    <n v="38"/>
    <n v="15"/>
    <n v="1041"/>
    <s v="whiteco01"/>
    <x v="293"/>
    <n v="2.1025641025641026"/>
  </r>
  <r>
    <s v="Malik Monk"/>
    <x v="6"/>
    <x v="2"/>
    <x v="2"/>
    <n v="0.54"/>
    <n v="101"/>
    <n v="19"/>
    <n v="4"/>
    <n v="490"/>
    <s v="monkma01"/>
    <x v="294"/>
    <n v="1.5818181818181818"/>
  </r>
  <r>
    <s v="Killian Hayes"/>
    <x v="8"/>
    <x v="2"/>
    <x v="2"/>
    <n v="0.40300000000000002"/>
    <n v="69"/>
    <n v="27"/>
    <n v="10"/>
    <n v="176"/>
    <s v="hayeski01"/>
    <x v="295"/>
    <n v="1.6626506024096386"/>
  </r>
  <r>
    <s v="Rodney McGruder"/>
    <x v="5"/>
    <x v="2"/>
    <x v="2"/>
    <n v="0.60699999999999998"/>
    <n v="22"/>
    <n v="8"/>
    <n v="1"/>
    <n v="91"/>
    <s v="mcgruro01"/>
    <x v="296"/>
    <n v="2.2857142857142856"/>
  </r>
  <r>
    <s v="Collin Sexton"/>
    <x v="6"/>
    <x v="2"/>
    <x v="2"/>
    <n v="0.51900000000000002"/>
    <n v="187"/>
    <n v="62"/>
    <n v="10"/>
    <n v="1460"/>
    <s v="sextoco01"/>
    <x v="297"/>
    <n v="1.5688622754491017"/>
  </r>
  <r>
    <s v="Pat Connaughton"/>
    <x v="2"/>
    <x v="2"/>
    <x v="2"/>
    <n v="0.56499999999999995"/>
    <n v="332"/>
    <n v="49"/>
    <n v="23"/>
    <n v="468"/>
    <s v="connapa01"/>
    <x v="298"/>
    <n v="2.4545454545454546"/>
  </r>
  <r>
    <s v="Kris Dunn"/>
    <x v="4"/>
    <x v="2"/>
    <x v="2"/>
    <n v="8.3000000000000004E-2"/>
    <n v="6"/>
    <n v="2"/>
    <n v="2"/>
    <n v="5"/>
    <s v="dunnkr01"/>
    <x v="299"/>
    <n v="0.66666666666666663"/>
  </r>
  <r>
    <s v="Garrett Temple"/>
    <x v="3"/>
    <x v="2"/>
    <x v="2"/>
    <n v="0.503"/>
    <n v="160"/>
    <n v="43"/>
    <n v="30"/>
    <n v="423"/>
    <s v="templga01"/>
    <x v="299"/>
    <n v="2.1379310344827585"/>
  </r>
  <r>
    <s v="Elfrid Payton"/>
    <x v="4"/>
    <x v="2"/>
    <x v="2"/>
    <n v="0.45500000000000002"/>
    <n v="216"/>
    <n v="47"/>
    <n v="9"/>
    <n v="639"/>
    <s v="paytoel01"/>
    <x v="299"/>
    <n v="1.970873786407767"/>
  </r>
  <r>
    <s v="Josh Jackson"/>
    <x v="10"/>
    <x v="2"/>
    <x v="2"/>
    <n v="0.47299999999999998"/>
    <n v="254"/>
    <n v="53"/>
    <n v="47"/>
    <n v="828"/>
    <s v="jacksjo02"/>
    <x v="299"/>
    <n v="1.0070422535211268"/>
  </r>
  <r>
    <s v="Denzel Valentine"/>
    <x v="0"/>
    <x v="2"/>
    <x v="2"/>
    <n v="0.46899999999999997"/>
    <n v="197"/>
    <n v="30"/>
    <n v="7"/>
    <n v="406"/>
    <s v="valende01"/>
    <x v="300"/>
    <n v="2.5"/>
  </r>
  <r>
    <s v="Terrance Ferguson"/>
    <x v="6"/>
    <x v="2"/>
    <x v="2"/>
    <n v="0.14299999999999999"/>
    <n v="1"/>
    <n v="1"/>
    <n v="0"/>
    <n v="2"/>
    <s v="fergute01"/>
    <x v="301"/>
    <n v="0.5"/>
  </r>
  <r>
    <s v="Jerome Robinson"/>
    <x v="10"/>
    <x v="2"/>
    <x v="2"/>
    <n v="0.35299999999999998"/>
    <n v="38"/>
    <n v="12"/>
    <n v="6"/>
    <n v="83"/>
    <s v="robinje01"/>
    <x v="302"/>
    <n v="1.3157894736842106"/>
  </r>
  <r>
    <s v="Romeo Langford"/>
    <x v="9"/>
    <x v="2"/>
    <x v="2"/>
    <n v="0.39800000000000002"/>
    <n v="35"/>
    <n v="6"/>
    <n v="5"/>
    <n v="56"/>
    <s v="langfro01"/>
    <x v="303"/>
    <n v="1.3"/>
  </r>
  <r>
    <s v="T.J. McConnell"/>
    <x v="2"/>
    <x v="2"/>
    <x v="2"/>
    <n v="0.57399999999999995"/>
    <n v="256"/>
    <n v="128"/>
    <n v="23"/>
    <n v="596"/>
    <s v="mccontj01"/>
    <x v="20"/>
    <n v="3.3777777777777778"/>
  </r>
  <r>
    <s v="Michael Carter-Williams"/>
    <x v="5"/>
    <x v="2"/>
    <x v="2"/>
    <n v="0.41699999999999998"/>
    <n v="139"/>
    <n v="25"/>
    <n v="17"/>
    <n v="274"/>
    <s v="cartemi01"/>
    <x v="182"/>
    <n v="1.8695652173913044"/>
  </r>
  <r>
    <s v="Cole Anthony"/>
    <x v="11"/>
    <x v="2"/>
    <x v="2"/>
    <n v="0.44900000000000001"/>
    <n v="221"/>
    <n v="30"/>
    <n v="18"/>
    <n v="605"/>
    <s v="anthoco01"/>
    <x v="304"/>
    <n v="1.8113207547169812"/>
  </r>
  <r>
    <s v="Donte DiVincenzo"/>
    <x v="12"/>
    <x v="2"/>
    <x v="2"/>
    <n v="0.52800000000000002"/>
    <n v="380"/>
    <n v="72"/>
    <n v="15"/>
    <n v="688"/>
    <s v="divindo01"/>
    <x v="305"/>
    <n v="2.2307692307692308"/>
  </r>
  <r>
    <s v="Ryan Arcidiacono"/>
    <x v="4"/>
    <x v="2"/>
    <x v="2"/>
    <n v="0.52600000000000002"/>
    <n v="67"/>
    <n v="9"/>
    <n v="0"/>
    <n v="136"/>
    <s v="arcidry01"/>
    <x v="36"/>
    <n v="5.6"/>
  </r>
  <r>
    <s v="Kevin Huerter"/>
    <x v="6"/>
    <x v="2"/>
    <x v="2"/>
    <n v="0.52800000000000002"/>
    <n v="231"/>
    <n v="82"/>
    <n v="18"/>
    <n v="822"/>
    <s v="huertke01"/>
    <x v="306"/>
    <n v="3.0506329113924049"/>
  </r>
  <r>
    <s v="Matisse Thybulle"/>
    <x v="10"/>
    <x v="2"/>
    <x v="2"/>
    <n v="0.50800000000000001"/>
    <n v="124"/>
    <n v="105"/>
    <n v="71"/>
    <n v="255"/>
    <s v="thybuma01"/>
    <x v="307"/>
    <n v="1.96875"/>
  </r>
  <r>
    <s v="Tyler Herro"/>
    <x v="9"/>
    <x v="2"/>
    <x v="2"/>
    <n v="0.51600000000000001"/>
    <n v="268"/>
    <n v="35"/>
    <n v="17"/>
    <n v="815"/>
    <s v="herroty01"/>
    <x v="184"/>
    <n v="1.8217821782178218"/>
  </r>
  <r>
    <s v="Tyrese Maxey"/>
    <x v="11"/>
    <x v="2"/>
    <x v="2"/>
    <n v="0.498"/>
    <n v="104"/>
    <n v="26"/>
    <n v="13"/>
    <n v="488"/>
    <s v="maxeyty01"/>
    <x v="308"/>
    <n v="2.9268292682926829"/>
  </r>
  <r>
    <s v="Aaron Holiday"/>
    <x v="12"/>
    <x v="2"/>
    <x v="2"/>
    <n v="0.46700000000000003"/>
    <n v="89"/>
    <n v="46"/>
    <n v="13"/>
    <n v="475"/>
    <s v="holidaa01"/>
    <x v="309"/>
    <n v="1.8636363636363635"/>
  </r>
  <r>
    <s v="Bryn Forbes"/>
    <x v="0"/>
    <x v="2"/>
    <x v="2"/>
    <n v="0.61799999999999999"/>
    <n v="112"/>
    <n v="24"/>
    <n v="1"/>
    <n v="701"/>
    <s v="forbebr01"/>
    <x v="310"/>
    <n v="1.0227272727272727"/>
  </r>
  <r>
    <s v="Payton Pritchard"/>
    <x v="10"/>
    <x v="2"/>
    <x v="2"/>
    <n v="0.56200000000000006"/>
    <n v="158"/>
    <n v="37"/>
    <n v="9"/>
    <n v="510"/>
    <s v="pritcpa01"/>
    <x v="311"/>
    <n v="2.2641509433962264"/>
  </r>
  <r>
    <s v="Edmond Sumner"/>
    <x v="1"/>
    <x v="2"/>
    <x v="2"/>
    <n v="0.58699999999999997"/>
    <n v="94"/>
    <n v="33"/>
    <n v="10"/>
    <n v="399"/>
    <s v="sumneed01"/>
    <x v="312"/>
    <n v="0.96078431372549022"/>
  </r>
  <r>
    <s v="Immanuel Quickley"/>
    <x v="9"/>
    <x v="2"/>
    <x v="2"/>
    <n v="0.497"/>
    <n v="137"/>
    <n v="30"/>
    <n v="12"/>
    <n v="731"/>
    <s v="quickim01"/>
    <x v="313"/>
    <n v="2.1896551724137931"/>
  </r>
  <r>
    <s v="Landry Shamet"/>
    <x v="10"/>
    <x v="2"/>
    <x v="2"/>
    <n v="0.54900000000000004"/>
    <n v="112"/>
    <n v="31"/>
    <n v="10"/>
    <n v="567"/>
    <s v="shamela01"/>
    <x v="314"/>
    <n v="2.0625"/>
  </r>
  <r>
    <s v="Damyean Dotson"/>
    <x v="4"/>
    <x v="2"/>
    <x v="2"/>
    <n v="0.48499999999999999"/>
    <n v="93"/>
    <n v="16"/>
    <n v="4"/>
    <n v="308"/>
    <s v="dotsoda01"/>
    <x v="113"/>
    <n v="2.1666666666666665"/>
  </r>
  <r>
    <s v="Malachi Flynn"/>
    <x v="6"/>
    <x v="2"/>
    <x v="2"/>
    <n v="0.45300000000000001"/>
    <n v="116"/>
    <n v="38"/>
    <n v="7"/>
    <n v="353"/>
    <s v="flynnma01"/>
    <x v="315"/>
    <n v="3.1860465116279069"/>
  </r>
  <r>
    <s v="Furkan Korkmaz"/>
    <x v="10"/>
    <x v="2"/>
    <x v="2"/>
    <n v="0.52"/>
    <n v="113"/>
    <n v="49"/>
    <n v="9"/>
    <n v="501"/>
    <s v="korkmfu01"/>
    <x v="118"/>
    <n v="1.7826086956521738"/>
  </r>
  <r>
    <s v="Brandon Goodwin"/>
    <x v="1"/>
    <x v="2"/>
    <x v="2"/>
    <n v="0.44800000000000001"/>
    <n v="69"/>
    <n v="17"/>
    <n v="0"/>
    <n v="228"/>
    <s v="goodwbr01"/>
    <x v="188"/>
    <n v="2.6388888888888888"/>
  </r>
  <r>
    <s v="Shake Milton"/>
    <x v="12"/>
    <x v="2"/>
    <x v="2"/>
    <n v="0.503"/>
    <n v="148"/>
    <n v="39"/>
    <n v="18"/>
    <n v="817"/>
    <s v="miltosh01"/>
    <x v="188"/>
    <n v="1.8737864077669903"/>
  </r>
  <r>
    <s v="Bruce Brown"/>
    <x v="12"/>
    <x v="2"/>
    <x v="2"/>
    <n v="0.57599999999999996"/>
    <n v="349"/>
    <n v="58"/>
    <n v="28"/>
    <n v="573"/>
    <s v="brownbr01"/>
    <x v="64"/>
    <n v="1.9259259259259258"/>
  </r>
  <r>
    <s v="Kendrick Nunn"/>
    <x v="1"/>
    <x v="2"/>
    <x v="2"/>
    <n v="0.57799999999999996"/>
    <n v="179"/>
    <n v="52"/>
    <n v="14"/>
    <n v="816"/>
    <s v="nunnke01"/>
    <x v="64"/>
    <n v="1.85"/>
  </r>
  <r>
    <s v="Matthew Dellavedova"/>
    <x v="15"/>
    <x v="2"/>
    <x v="2"/>
    <n v="0.28599999999999998"/>
    <n v="24"/>
    <n v="4"/>
    <n v="1"/>
    <n v="36"/>
    <s v="dellama01"/>
    <x v="24"/>
    <n v="9.6666666666666661"/>
  </r>
  <r>
    <s v="Tyler Johnson"/>
    <x v="2"/>
    <x v="2"/>
    <x v="2"/>
    <n v="0.52500000000000002"/>
    <n v="77"/>
    <n v="14"/>
    <n v="0"/>
    <n v="210"/>
    <s v="johnsty01"/>
    <x v="24"/>
    <n v="2.7647058823529411"/>
  </r>
  <r>
    <s v="Wayne Ellington"/>
    <x v="17"/>
    <x v="2"/>
    <x v="2"/>
    <n v="0.61199999999999999"/>
    <n v="85"/>
    <n v="18"/>
    <n v="9"/>
    <n v="442"/>
    <s v="ellinwa01"/>
    <x v="24"/>
    <n v="2.0303030303030303"/>
  </r>
  <r>
    <s v="Dwayne Bacon"/>
    <x v="1"/>
    <x v="2"/>
    <x v="2"/>
    <n v="0.443"/>
    <n v="224"/>
    <n v="45"/>
    <n v="5"/>
    <n v="788"/>
    <s v="bacondw01"/>
    <x v="24"/>
    <n v="2.0217391304347827"/>
  </r>
  <r>
    <s v="Raul Neto"/>
    <x v="2"/>
    <x v="2"/>
    <x v="2"/>
    <n v="0.53900000000000003"/>
    <n v="156"/>
    <n v="73"/>
    <n v="6"/>
    <n v="557"/>
    <s v="netora01"/>
    <x v="24"/>
    <n v="2.7547169811320753"/>
  </r>
  <r>
    <s v="Jalen Lecque"/>
    <x v="11"/>
    <x v="2"/>
    <x v="2"/>
    <n v="0.111"/>
    <n v="5"/>
    <n v="0"/>
    <n v="0"/>
    <n v="5"/>
    <s v="lecquja01"/>
    <x v="25"/>
    <n v="0"/>
  </r>
  <r>
    <s v="Rayjon Tucker"/>
    <x v="10"/>
    <x v="2"/>
    <x v="2"/>
    <n v="0.55600000000000005"/>
    <n v="11"/>
    <n v="2"/>
    <n v="0"/>
    <n v="34"/>
    <s v="tuckera01"/>
    <x v="25"/>
    <n v="1.5"/>
  </r>
  <r>
    <s v="Carsen Edwards"/>
    <x v="6"/>
    <x v="2"/>
    <x v="2"/>
    <n v="0.505"/>
    <n v="26"/>
    <n v="7"/>
    <n v="1"/>
    <n v="123"/>
    <s v="edwarca01"/>
    <x v="25"/>
    <n v="2"/>
  </r>
  <r>
    <s v="Theo Pinson"/>
    <x v="1"/>
    <x v="2"/>
    <x v="2"/>
    <n v="0.111"/>
    <n v="5"/>
    <n v="0"/>
    <n v="0"/>
    <n v="2"/>
    <s v="pinsoth01"/>
    <x v="122"/>
    <n v="1"/>
  </r>
  <r>
    <s v="Jaylen Adams"/>
    <x v="12"/>
    <x v="2"/>
    <x v="2"/>
    <n v="0.125"/>
    <n v="3"/>
    <n v="0"/>
    <n v="0"/>
    <n v="2"/>
    <s v="adamsja01"/>
    <x v="316"/>
    <n v="0"/>
  </r>
  <r>
    <s v="Andre Roberson"/>
    <x v="5"/>
    <x v="2"/>
    <x v="2"/>
    <n v="0.17899999999999999"/>
    <n v="15"/>
    <n v="3"/>
    <n v="1"/>
    <n v="6"/>
    <s v="roberan03"/>
    <x v="317"/>
    <n v="2"/>
  </r>
  <r>
    <s v="Deividas Sirvydis"/>
    <x v="11"/>
    <x v="2"/>
    <x v="2"/>
    <n v="0.47499999999999998"/>
    <n v="29"/>
    <n v="2"/>
    <n v="0"/>
    <n v="41"/>
    <s v="sirvyde01"/>
    <x v="26"/>
    <n v="1"/>
  </r>
  <r>
    <s v="Sam Merrill"/>
    <x v="12"/>
    <x v="2"/>
    <x v="2"/>
    <n v="0.59"/>
    <n v="30"/>
    <n v="8"/>
    <n v="1"/>
    <n v="89"/>
    <s v="merrisa01"/>
    <x v="26"/>
    <n v="2.1"/>
  </r>
  <r>
    <s v="Isaiah Joe"/>
    <x v="9"/>
    <x v="2"/>
    <x v="2"/>
    <n v="0.50800000000000001"/>
    <n v="36"/>
    <n v="12"/>
    <n v="4"/>
    <n v="153"/>
    <s v="joeis01"/>
    <x v="26"/>
    <n v="1.8181818181818181"/>
  </r>
  <r>
    <s v="Devon Dotson"/>
    <x v="9"/>
    <x v="2"/>
    <x v="2"/>
    <n v="0.54800000000000004"/>
    <n v="5"/>
    <n v="4"/>
    <n v="0"/>
    <n v="23"/>
    <s v="dotsode01"/>
    <x v="28"/>
    <n v="0"/>
  </r>
  <r>
    <s v="Grant Riller"/>
    <x v="10"/>
    <x v="2"/>
    <x v="2"/>
    <n v="0.75"/>
    <n v="1"/>
    <n v="1"/>
    <n v="0"/>
    <n v="18"/>
    <s v="rillegr01"/>
    <x v="28"/>
    <n v="3"/>
  </r>
  <r>
    <s v="Cassius Stanley"/>
    <x v="9"/>
    <x v="2"/>
    <x v="2"/>
    <n v="0.33700000000000002"/>
    <n v="20"/>
    <n v="1"/>
    <n v="2"/>
    <n v="36"/>
    <s v="stanlca01"/>
    <x v="28"/>
    <n v="1"/>
  </r>
  <r>
    <s v="Nate Darling"/>
    <x v="6"/>
    <x v="2"/>
    <x v="2"/>
    <n v="0.42899999999999999"/>
    <n v="1"/>
    <n v="0"/>
    <n v="1"/>
    <n v="9"/>
    <s v="darlina01"/>
    <x v="28"/>
    <n v="1"/>
  </r>
  <r>
    <s v="Jared Harper"/>
    <x v="10"/>
    <x v="2"/>
    <x v="2"/>
    <n v="0"/>
    <n v="2"/>
    <n v="0"/>
    <n v="0"/>
    <n v="3"/>
    <s v="harpeja01"/>
    <x v="28"/>
    <n v="0.33333333333333331"/>
  </r>
  <r>
    <s v="Adam Mokoka"/>
    <x v="6"/>
    <x v="2"/>
    <x v="2"/>
    <n v="0.39500000000000002"/>
    <n v="5"/>
    <n v="2"/>
    <n v="1"/>
    <n v="15"/>
    <s v="mokokad01"/>
    <x v="28"/>
    <n v="1"/>
  </r>
  <r>
    <s v="Cassius Winston"/>
    <x v="6"/>
    <x v="2"/>
    <x v="2"/>
    <n v="0.54500000000000004"/>
    <n v="9"/>
    <n v="2"/>
    <n v="1"/>
    <n v="41"/>
    <s v="winstca01"/>
    <x v="28"/>
    <n v="2.4"/>
  </r>
  <r>
    <s v="Jeremiah Martin"/>
    <x v="12"/>
    <x v="2"/>
    <x v="2"/>
    <n v="0.318"/>
    <n v="7"/>
    <n v="5"/>
    <n v="2"/>
    <n v="22"/>
    <s v="martije02"/>
    <x v="28"/>
    <n v="0.66666666666666663"/>
  </r>
  <r>
    <s v="Skylar Mays"/>
    <x v="10"/>
    <x v="2"/>
    <x v="2"/>
    <n v="0.52"/>
    <n v="35"/>
    <n v="14"/>
    <n v="2"/>
    <n v="124"/>
    <s v="mayssk01"/>
    <x v="28"/>
    <n v="3.3333333333333335"/>
  </r>
  <r>
    <s v="Garrison Mathews"/>
    <x v="12"/>
    <x v="2"/>
    <x v="2"/>
    <n v="0.56999999999999995"/>
    <n v="87"/>
    <n v="29"/>
    <n v="7"/>
    <n v="354"/>
    <s v="mathega01"/>
    <x v="28"/>
    <n v="2.6"/>
  </r>
  <r>
    <s v="Chris Chiozza"/>
    <x v="1"/>
    <x v="2"/>
    <x v="2"/>
    <n v="0.42599999999999999"/>
    <n v="24"/>
    <n v="7"/>
    <n v="6"/>
    <n v="88"/>
    <s v="chiozch01"/>
    <x v="28"/>
    <n v="4.0625"/>
  </r>
  <r>
    <s v="Tremont Waters"/>
    <x v="10"/>
    <x v="2"/>
    <x v="2"/>
    <n v="0.49399999999999999"/>
    <n v="21"/>
    <n v="15"/>
    <n v="1"/>
    <n v="99"/>
    <s v="watertr01"/>
    <x v="28"/>
    <n v="2.2962962962962963"/>
  </r>
  <r>
    <s v="Gabe Vincent"/>
    <x v="12"/>
    <x v="2"/>
    <x v="2"/>
    <n v="0.47599999999999998"/>
    <n v="56"/>
    <n v="21"/>
    <n v="2"/>
    <n v="242"/>
    <s v="vincega01"/>
    <x v="28"/>
    <n v="1.9705882352941178"/>
  </r>
  <r>
    <s v="Frank Jackson"/>
    <x v="6"/>
    <x v="2"/>
    <x v="2"/>
    <n v="0.56100000000000005"/>
    <n v="86"/>
    <n v="15"/>
    <n v="1"/>
    <n v="390"/>
    <s v="jacksfr01"/>
    <x v="28"/>
    <n v="1.0588235294117647"/>
  </r>
  <r>
    <s v="Chasson Randle"/>
    <x v="0"/>
    <x v="2"/>
    <x v="2"/>
    <n v="0.48099999999999998"/>
    <n v="82"/>
    <n v="22"/>
    <n v="5"/>
    <n v="266"/>
    <s v="randlch01"/>
    <x v="28"/>
    <n v="1.6086956521739131"/>
  </r>
  <r>
    <s v="Saben Lee"/>
    <x v="9"/>
    <x v="2"/>
    <x v="2"/>
    <n v="0.49"/>
    <n v="97"/>
    <n v="32"/>
    <n v="13"/>
    <n v="267"/>
    <s v="leesa01"/>
    <x v="28"/>
    <n v="3.1636363636363636"/>
  </r>
  <r>
    <s v="Devonte' Graham"/>
    <x v="1"/>
    <x v="2"/>
    <x v="2"/>
    <n v="0.51"/>
    <n v="148"/>
    <n v="48"/>
    <n v="6"/>
    <n v="816"/>
    <s v="grahade01"/>
    <x v="318"/>
    <n v="3.5119047619047619"/>
  </r>
  <r>
    <s v="Mike James"/>
    <x v="15"/>
    <x v="2"/>
    <x v="2"/>
    <n v="0.42899999999999999"/>
    <n v="32"/>
    <n v="6"/>
    <n v="1"/>
    <n v="100"/>
    <s v="jamesmi02"/>
    <x v="319"/>
    <n v="2.7"/>
  </r>
  <r>
    <s v="Elijah Bryant"/>
    <x v="1"/>
    <x v="2"/>
    <x v="2"/>
    <n v="0.5"/>
    <n v="6"/>
    <n v="0"/>
    <n v="1"/>
    <n v="16"/>
    <s v="bryanel01"/>
    <x v="320"/>
    <n v="0.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3">
  <r>
    <x v="0"/>
  </r>
  <r>
    <x v="1"/>
  </r>
  <r>
    <x v="2"/>
  </r>
  <r>
    <x v="2"/>
  </r>
  <r>
    <x v="3"/>
  </r>
  <r>
    <x v="4"/>
  </r>
  <r>
    <x v="5"/>
  </r>
  <r>
    <x v="6"/>
  </r>
  <r>
    <x v="7"/>
  </r>
  <r>
    <x v="8"/>
  </r>
  <r>
    <x v="9"/>
  </r>
  <r>
    <x v="10"/>
  </r>
  <r>
    <x v="10"/>
  </r>
  <r>
    <x v="10"/>
  </r>
  <r>
    <x v="11"/>
  </r>
  <r>
    <x v="12"/>
  </r>
  <r>
    <x v="13"/>
  </r>
  <r>
    <x v="14"/>
  </r>
  <r>
    <x v="15"/>
  </r>
  <r>
    <x v="16"/>
  </r>
  <r>
    <x v="17"/>
  </r>
  <r>
    <x v="17"/>
  </r>
  <r>
    <x v="17"/>
  </r>
  <r>
    <x v="18"/>
  </r>
  <r>
    <x v="19"/>
  </r>
  <r>
    <x v="20"/>
  </r>
  <r>
    <x v="21"/>
  </r>
  <r>
    <x v="22"/>
  </r>
  <r>
    <x v="23"/>
  </r>
  <r>
    <x v="24"/>
  </r>
  <r>
    <x v="24"/>
  </r>
  <r>
    <x v="24"/>
  </r>
  <r>
    <x v="24"/>
  </r>
  <r>
    <x v="24"/>
  </r>
  <r>
    <x v="25"/>
  </r>
  <r>
    <x v="26"/>
  </r>
  <r>
    <x v="27"/>
  </r>
  <r>
    <x v="28"/>
  </r>
  <r>
    <x v="28"/>
  </r>
  <r>
    <x v="29"/>
  </r>
  <r>
    <x v="30"/>
  </r>
  <r>
    <x v="31"/>
  </r>
  <r>
    <x v="32"/>
  </r>
  <r>
    <x v="33"/>
  </r>
  <r>
    <x v="34"/>
  </r>
  <r>
    <x v="35"/>
  </r>
  <r>
    <x v="36"/>
  </r>
  <r>
    <x v="37"/>
  </r>
  <r>
    <x v="24"/>
  </r>
  <r>
    <x v="25"/>
  </r>
  <r>
    <x v="38"/>
  </r>
  <r>
    <x v="39"/>
  </r>
  <r>
    <x v="40"/>
  </r>
  <r>
    <x v="41"/>
  </r>
  <r>
    <x v="28"/>
  </r>
  <r>
    <x v="42"/>
  </r>
  <r>
    <x v="43"/>
  </r>
  <r>
    <x v="44"/>
  </r>
  <r>
    <x v="1"/>
  </r>
  <r>
    <x v="45"/>
  </r>
  <r>
    <x v="46"/>
  </r>
  <r>
    <x v="47"/>
  </r>
  <r>
    <x v="48"/>
  </r>
  <r>
    <x v="49"/>
  </r>
  <r>
    <x v="50"/>
  </r>
  <r>
    <x v="10"/>
  </r>
  <r>
    <x v="51"/>
  </r>
  <r>
    <x v="52"/>
  </r>
  <r>
    <x v="53"/>
  </r>
  <r>
    <x v="54"/>
  </r>
  <r>
    <x v="15"/>
  </r>
  <r>
    <x v="55"/>
  </r>
  <r>
    <x v="56"/>
  </r>
  <r>
    <x v="57"/>
  </r>
  <r>
    <x v="58"/>
  </r>
  <r>
    <x v="32"/>
  </r>
  <r>
    <x v="59"/>
  </r>
  <r>
    <x v="20"/>
  </r>
  <r>
    <x v="60"/>
  </r>
  <r>
    <x v="61"/>
  </r>
  <r>
    <x v="62"/>
  </r>
  <r>
    <x v="63"/>
  </r>
  <r>
    <x v="64"/>
  </r>
  <r>
    <x v="24"/>
  </r>
  <r>
    <x v="24"/>
  </r>
  <r>
    <x v="24"/>
  </r>
  <r>
    <x v="25"/>
  </r>
  <r>
    <x v="25"/>
  </r>
  <r>
    <x v="25"/>
  </r>
  <r>
    <x v="65"/>
  </r>
  <r>
    <x v="66"/>
  </r>
  <r>
    <x v="67"/>
  </r>
  <r>
    <x v="28"/>
  </r>
  <r>
    <x v="28"/>
  </r>
  <r>
    <x v="68"/>
  </r>
  <r>
    <x v="69"/>
  </r>
  <r>
    <x v="70"/>
  </r>
  <r>
    <x v="71"/>
  </r>
  <r>
    <x v="1"/>
  </r>
  <r>
    <x v="72"/>
  </r>
  <r>
    <x v="73"/>
  </r>
  <r>
    <x v="74"/>
  </r>
  <r>
    <x v="75"/>
  </r>
  <r>
    <x v="76"/>
  </r>
  <r>
    <x v="77"/>
  </r>
  <r>
    <x v="78"/>
  </r>
  <r>
    <x v="79"/>
  </r>
  <r>
    <x v="80"/>
  </r>
  <r>
    <x v="81"/>
  </r>
  <r>
    <x v="82"/>
  </r>
  <r>
    <x v="83"/>
  </r>
  <r>
    <x v="84"/>
  </r>
  <r>
    <x v="85"/>
  </r>
  <r>
    <x v="86"/>
  </r>
  <r>
    <x v="10"/>
  </r>
  <r>
    <x v="10"/>
  </r>
  <r>
    <x v="87"/>
  </r>
  <r>
    <x v="88"/>
  </r>
  <r>
    <x v="89"/>
  </r>
  <r>
    <x v="90"/>
  </r>
  <r>
    <x v="15"/>
  </r>
  <r>
    <x v="91"/>
  </r>
  <r>
    <x v="92"/>
  </r>
  <r>
    <x v="93"/>
  </r>
  <r>
    <x v="94"/>
  </r>
  <r>
    <x v="95"/>
  </r>
  <r>
    <x v="96"/>
  </r>
  <r>
    <x v="96"/>
  </r>
  <r>
    <x v="97"/>
  </r>
  <r>
    <x v="98"/>
  </r>
  <r>
    <x v="99"/>
  </r>
  <r>
    <x v="100"/>
  </r>
  <r>
    <x v="101"/>
  </r>
  <r>
    <x v="102"/>
  </r>
  <r>
    <x v="103"/>
  </r>
  <r>
    <x v="104"/>
  </r>
  <r>
    <x v="105"/>
  </r>
  <r>
    <x v="106"/>
  </r>
  <r>
    <x v="107"/>
  </r>
  <r>
    <x v="108"/>
  </r>
  <r>
    <x v="109"/>
  </r>
  <r>
    <x v="110"/>
  </r>
  <r>
    <x v="111"/>
  </r>
  <r>
    <x v="112"/>
  </r>
  <r>
    <x v="113"/>
  </r>
  <r>
    <x v="114"/>
  </r>
  <r>
    <x v="115"/>
  </r>
  <r>
    <x v="116"/>
  </r>
  <r>
    <x v="116"/>
  </r>
  <r>
    <x v="117"/>
  </r>
  <r>
    <x v="118"/>
  </r>
  <r>
    <x v="119"/>
  </r>
  <r>
    <x v="64"/>
  </r>
  <r>
    <x v="120"/>
  </r>
  <r>
    <x v="24"/>
  </r>
  <r>
    <x v="24"/>
  </r>
  <r>
    <x v="24"/>
  </r>
  <r>
    <x v="24"/>
  </r>
  <r>
    <x v="24"/>
  </r>
  <r>
    <x v="24"/>
  </r>
  <r>
    <x v="24"/>
  </r>
  <r>
    <x v="25"/>
  </r>
  <r>
    <x v="25"/>
  </r>
  <r>
    <x v="25"/>
  </r>
  <r>
    <x v="25"/>
  </r>
  <r>
    <x v="25"/>
  </r>
  <r>
    <x v="25"/>
  </r>
  <r>
    <x v="121"/>
  </r>
  <r>
    <x v="122"/>
  </r>
  <r>
    <x v="123"/>
  </r>
  <r>
    <x v="124"/>
  </r>
  <r>
    <x v="39"/>
  </r>
  <r>
    <x v="26"/>
  </r>
  <r>
    <x v="26"/>
  </r>
  <r>
    <x v="26"/>
  </r>
  <r>
    <x v="125"/>
  </r>
  <r>
    <x v="28"/>
  </r>
  <r>
    <x v="28"/>
  </r>
  <r>
    <x v="28"/>
  </r>
  <r>
    <x v="28"/>
  </r>
  <r>
    <x v="28"/>
  </r>
  <r>
    <x v="28"/>
  </r>
  <r>
    <x v="28"/>
  </r>
  <r>
    <x v="28"/>
  </r>
  <r>
    <x v="28"/>
  </r>
  <r>
    <x v="28"/>
  </r>
  <r>
    <x v="126"/>
  </r>
  <r>
    <x v="127"/>
  </r>
  <r>
    <x v="128"/>
  </r>
  <r>
    <x v="129"/>
  </r>
  <r>
    <x v="130"/>
  </r>
  <r>
    <x v="131"/>
  </r>
  <r>
    <x v="132"/>
  </r>
  <r>
    <x v="133"/>
  </r>
  <r>
    <x v="134"/>
  </r>
  <r>
    <x v="135"/>
  </r>
  <r>
    <x v="136"/>
  </r>
  <r>
    <x v="137"/>
  </r>
  <r>
    <x v="59"/>
  </r>
  <r>
    <x v="138"/>
  </r>
  <r>
    <x v="139"/>
  </r>
  <r>
    <x v="113"/>
  </r>
  <r>
    <x v="140"/>
  </r>
  <r>
    <x v="141"/>
  </r>
  <r>
    <x v="64"/>
  </r>
  <r>
    <x v="64"/>
  </r>
  <r>
    <x v="24"/>
  </r>
  <r>
    <x v="25"/>
  </r>
  <r>
    <x v="25"/>
  </r>
  <r>
    <x v="142"/>
  </r>
  <r>
    <x v="28"/>
  </r>
  <r>
    <x v="68"/>
  </r>
  <r>
    <x v="143"/>
  </r>
  <r>
    <x v="144"/>
  </r>
  <r>
    <x v="145"/>
  </r>
  <r>
    <x v="146"/>
  </r>
  <r>
    <x v="147"/>
  </r>
  <r>
    <x v="70"/>
  </r>
  <r>
    <x v="148"/>
  </r>
  <r>
    <x v="149"/>
  </r>
  <r>
    <x v="150"/>
  </r>
  <r>
    <x v="151"/>
  </r>
  <r>
    <x v="152"/>
  </r>
  <r>
    <x v="153"/>
  </r>
  <r>
    <x v="154"/>
  </r>
  <r>
    <x v="155"/>
  </r>
  <r>
    <x v="156"/>
  </r>
  <r>
    <x v="157"/>
  </r>
  <r>
    <x v="158"/>
  </r>
  <r>
    <x v="159"/>
  </r>
  <r>
    <x v="5"/>
  </r>
  <r>
    <x v="5"/>
  </r>
  <r>
    <x v="160"/>
  </r>
  <r>
    <x v="161"/>
  </r>
  <r>
    <x v="162"/>
  </r>
  <r>
    <x v="163"/>
  </r>
  <r>
    <x v="164"/>
  </r>
  <r>
    <x v="165"/>
  </r>
  <r>
    <x v="166"/>
  </r>
  <r>
    <x v="167"/>
  </r>
  <r>
    <x v="168"/>
  </r>
  <r>
    <x v="169"/>
  </r>
  <r>
    <x v="17"/>
  </r>
  <r>
    <x v="170"/>
  </r>
  <r>
    <x v="171"/>
  </r>
  <r>
    <x v="172"/>
  </r>
  <r>
    <x v="173"/>
  </r>
  <r>
    <x v="174"/>
  </r>
  <r>
    <x v="33"/>
  </r>
  <r>
    <x v="175"/>
  </r>
  <r>
    <x v="176"/>
  </r>
  <r>
    <x v="97"/>
  </r>
  <r>
    <x v="177"/>
  </r>
  <r>
    <x v="178"/>
  </r>
  <r>
    <x v="179"/>
  </r>
  <r>
    <x v="180"/>
  </r>
  <r>
    <x v="181"/>
  </r>
  <r>
    <x v="182"/>
  </r>
  <r>
    <x v="60"/>
  </r>
  <r>
    <x v="183"/>
  </r>
  <r>
    <x v="184"/>
  </r>
  <r>
    <x v="185"/>
  </r>
  <r>
    <x v="186"/>
  </r>
  <r>
    <x v="119"/>
  </r>
  <r>
    <x v="187"/>
  </r>
  <r>
    <x v="188"/>
  </r>
  <r>
    <x v="64"/>
  </r>
  <r>
    <x v="64"/>
  </r>
  <r>
    <x v="24"/>
  </r>
  <r>
    <x v="24"/>
  </r>
  <r>
    <x v="24"/>
  </r>
  <r>
    <x v="25"/>
  </r>
  <r>
    <x v="25"/>
  </r>
  <r>
    <x v="25"/>
  </r>
  <r>
    <x v="25"/>
  </r>
  <r>
    <x v="25"/>
  </r>
  <r>
    <x v="122"/>
  </r>
  <r>
    <x v="122"/>
  </r>
  <r>
    <x v="39"/>
  </r>
  <r>
    <x v="26"/>
  </r>
  <r>
    <x v="26"/>
  </r>
  <r>
    <x v="26"/>
  </r>
  <r>
    <x v="189"/>
  </r>
  <r>
    <x v="190"/>
  </r>
  <r>
    <x v="191"/>
  </r>
  <r>
    <x v="192"/>
  </r>
  <r>
    <x v="28"/>
  </r>
  <r>
    <x v="28"/>
  </r>
  <r>
    <x v="28"/>
  </r>
  <r>
    <x v="193"/>
  </r>
  <r>
    <x v="194"/>
  </r>
  <r>
    <x v="195"/>
  </r>
  <r>
    <x v="196"/>
  </r>
  <r>
    <x v="197"/>
  </r>
  <r>
    <x v="198"/>
  </r>
  <r>
    <x v="199"/>
  </r>
  <r>
    <x v="200"/>
  </r>
  <r>
    <x v="201"/>
  </r>
  <r>
    <x v="202"/>
  </r>
  <r>
    <x v="203"/>
  </r>
  <r>
    <x v="2"/>
  </r>
  <r>
    <x v="204"/>
  </r>
  <r>
    <x v="205"/>
  </r>
  <r>
    <x v="73"/>
  </r>
  <r>
    <x v="206"/>
  </r>
  <r>
    <x v="207"/>
  </r>
  <r>
    <x v="208"/>
  </r>
  <r>
    <x v="209"/>
  </r>
  <r>
    <x v="210"/>
  </r>
  <r>
    <x v="46"/>
  </r>
  <r>
    <x v="211"/>
  </r>
  <r>
    <x v="212"/>
  </r>
  <r>
    <x v="213"/>
  </r>
  <r>
    <x v="214"/>
  </r>
  <r>
    <x v="215"/>
  </r>
  <r>
    <x v="216"/>
  </r>
  <r>
    <x v="217"/>
  </r>
  <r>
    <x v="218"/>
  </r>
  <r>
    <x v="219"/>
  </r>
  <r>
    <x v="220"/>
  </r>
  <r>
    <x v="221"/>
  </r>
  <r>
    <x v="222"/>
  </r>
  <r>
    <x v="223"/>
  </r>
  <r>
    <x v="224"/>
  </r>
  <r>
    <x v="225"/>
  </r>
  <r>
    <x v="226"/>
  </r>
  <r>
    <x v="227"/>
  </r>
  <r>
    <x v="228"/>
  </r>
  <r>
    <x v="229"/>
  </r>
  <r>
    <x v="230"/>
  </r>
  <r>
    <x v="231"/>
  </r>
  <r>
    <x v="59"/>
  </r>
  <r>
    <x v="232"/>
  </r>
  <r>
    <x v="233"/>
  </r>
  <r>
    <x v="234"/>
  </r>
  <r>
    <x v="36"/>
  </r>
  <r>
    <x v="106"/>
  </r>
  <r>
    <x v="235"/>
  </r>
  <r>
    <x v="236"/>
  </r>
  <r>
    <x v="237"/>
  </r>
  <r>
    <x v="238"/>
  </r>
  <r>
    <x v="239"/>
  </r>
  <r>
    <x v="240"/>
  </r>
  <r>
    <x v="241"/>
  </r>
  <r>
    <x v="242"/>
  </r>
  <r>
    <x v="113"/>
  </r>
  <r>
    <x v="243"/>
  </r>
  <r>
    <x v="244"/>
  </r>
  <r>
    <x v="118"/>
  </r>
  <r>
    <x v="118"/>
  </r>
  <r>
    <x v="245"/>
  </r>
  <r>
    <x v="64"/>
  </r>
  <r>
    <x v="24"/>
  </r>
  <r>
    <x v="24"/>
  </r>
  <r>
    <x v="24"/>
  </r>
  <r>
    <x v="24"/>
  </r>
  <r>
    <x v="24"/>
  </r>
  <r>
    <x v="246"/>
  </r>
  <r>
    <x v="25"/>
  </r>
  <r>
    <x v="25"/>
  </r>
  <r>
    <x v="25"/>
  </r>
  <r>
    <x v="25"/>
  </r>
  <r>
    <x v="25"/>
  </r>
  <r>
    <x v="25"/>
  </r>
  <r>
    <x v="247"/>
  </r>
  <r>
    <x v="39"/>
  </r>
  <r>
    <x v="26"/>
  </r>
  <r>
    <x v="28"/>
  </r>
  <r>
    <x v="28"/>
  </r>
  <r>
    <x v="28"/>
  </r>
  <r>
    <x v="28"/>
  </r>
  <r>
    <x v="28"/>
  </r>
  <r>
    <x v="28"/>
  </r>
  <r>
    <x v="28"/>
  </r>
  <r>
    <x v="28"/>
  </r>
  <r>
    <x v="28"/>
  </r>
  <r>
    <x v="28"/>
  </r>
  <r>
    <x v="28"/>
  </r>
  <r>
    <x v="248"/>
  </r>
  <r>
    <x v="249"/>
  </r>
  <r>
    <x v="250"/>
  </r>
  <r>
    <x v="251"/>
  </r>
  <r>
    <x v="252"/>
  </r>
  <r>
    <x v="200"/>
  </r>
  <r>
    <x v="253"/>
  </r>
  <r>
    <x v="254"/>
  </r>
  <r>
    <x v="255"/>
  </r>
  <r>
    <x v="256"/>
  </r>
  <r>
    <x v="257"/>
  </r>
  <r>
    <x v="218"/>
  </r>
  <r>
    <x v="258"/>
  </r>
  <r>
    <x v="259"/>
  </r>
  <r>
    <x v="52"/>
  </r>
  <r>
    <x v="260"/>
  </r>
  <r>
    <x v="261"/>
  </r>
  <r>
    <x v="262"/>
  </r>
  <r>
    <x v="263"/>
  </r>
  <r>
    <x v="264"/>
  </r>
  <r>
    <x v="22"/>
  </r>
  <r>
    <x v="37"/>
  </r>
  <r>
    <x v="265"/>
  </r>
  <r>
    <x v="64"/>
  </r>
  <r>
    <x v="24"/>
  </r>
  <r>
    <x v="24"/>
  </r>
  <r>
    <x v="25"/>
  </r>
  <r>
    <x v="25"/>
  </r>
  <r>
    <x v="122"/>
  </r>
  <r>
    <x v="266"/>
  </r>
  <r>
    <x v="28"/>
  </r>
  <r>
    <x v="28"/>
  </r>
  <r>
    <x v="267"/>
  </r>
  <r>
    <x v="268"/>
  </r>
  <r>
    <x v="199"/>
  </r>
  <r>
    <x v="70"/>
  </r>
  <r>
    <x v="269"/>
  </r>
  <r>
    <x v="151"/>
  </r>
  <r>
    <x v="270"/>
  </r>
  <r>
    <x v="271"/>
  </r>
  <r>
    <x v="272"/>
  </r>
  <r>
    <x v="273"/>
  </r>
  <r>
    <x v="274"/>
  </r>
  <r>
    <x v="275"/>
  </r>
  <r>
    <x v="155"/>
  </r>
  <r>
    <x v="157"/>
  </r>
  <r>
    <x v="45"/>
  </r>
  <r>
    <x v="45"/>
  </r>
  <r>
    <x v="276"/>
  </r>
  <r>
    <x v="277"/>
  </r>
  <r>
    <x v="278"/>
  </r>
  <r>
    <x v="279"/>
  </r>
  <r>
    <x v="280"/>
  </r>
  <r>
    <x v="281"/>
  </r>
  <r>
    <x v="282"/>
  </r>
  <r>
    <x v="283"/>
  </r>
  <r>
    <x v="284"/>
  </r>
  <r>
    <x v="285"/>
  </r>
  <r>
    <x v="286"/>
  </r>
  <r>
    <x v="287"/>
  </r>
  <r>
    <x v="288"/>
  </r>
  <r>
    <x v="289"/>
  </r>
  <r>
    <x v="290"/>
  </r>
  <r>
    <x v="291"/>
  </r>
  <r>
    <x v="291"/>
  </r>
  <r>
    <x v="292"/>
  </r>
  <r>
    <x v="293"/>
  </r>
  <r>
    <x v="294"/>
  </r>
  <r>
    <x v="295"/>
  </r>
  <r>
    <x v="296"/>
  </r>
  <r>
    <x v="297"/>
  </r>
  <r>
    <x v="298"/>
  </r>
  <r>
    <x v="299"/>
  </r>
  <r>
    <x v="299"/>
  </r>
  <r>
    <x v="299"/>
  </r>
  <r>
    <x v="299"/>
  </r>
  <r>
    <x v="300"/>
  </r>
  <r>
    <x v="301"/>
  </r>
  <r>
    <x v="302"/>
  </r>
  <r>
    <x v="303"/>
  </r>
  <r>
    <x v="20"/>
  </r>
  <r>
    <x v="182"/>
  </r>
  <r>
    <x v="304"/>
  </r>
  <r>
    <x v="305"/>
  </r>
  <r>
    <x v="36"/>
  </r>
  <r>
    <x v="306"/>
  </r>
  <r>
    <x v="307"/>
  </r>
  <r>
    <x v="184"/>
  </r>
  <r>
    <x v="308"/>
  </r>
  <r>
    <x v="309"/>
  </r>
  <r>
    <x v="310"/>
  </r>
  <r>
    <x v="311"/>
  </r>
  <r>
    <x v="312"/>
  </r>
  <r>
    <x v="313"/>
  </r>
  <r>
    <x v="314"/>
  </r>
  <r>
    <x v="113"/>
  </r>
  <r>
    <x v="315"/>
  </r>
  <r>
    <x v="118"/>
  </r>
  <r>
    <x v="188"/>
  </r>
  <r>
    <x v="188"/>
  </r>
  <r>
    <x v="64"/>
  </r>
  <r>
    <x v="64"/>
  </r>
  <r>
    <x v="24"/>
  </r>
  <r>
    <x v="24"/>
  </r>
  <r>
    <x v="24"/>
  </r>
  <r>
    <x v="24"/>
  </r>
  <r>
    <x v="24"/>
  </r>
  <r>
    <x v="25"/>
  </r>
  <r>
    <x v="25"/>
  </r>
  <r>
    <x v="25"/>
  </r>
  <r>
    <x v="122"/>
  </r>
  <r>
    <x v="316"/>
  </r>
  <r>
    <x v="317"/>
  </r>
  <r>
    <x v="26"/>
  </r>
  <r>
    <x v="26"/>
  </r>
  <r>
    <x v="26"/>
  </r>
  <r>
    <x v="28"/>
  </r>
  <r>
    <x v="28"/>
  </r>
  <r>
    <x v="28"/>
  </r>
  <r>
    <x v="28"/>
  </r>
  <r>
    <x v="28"/>
  </r>
  <r>
    <x v="28"/>
  </r>
  <r>
    <x v="28"/>
  </r>
  <r>
    <x v="28"/>
  </r>
  <r>
    <x v="28"/>
  </r>
  <r>
    <x v="28"/>
  </r>
  <r>
    <x v="28"/>
  </r>
  <r>
    <x v="28"/>
  </r>
  <r>
    <x v="28"/>
  </r>
  <r>
    <x v="28"/>
  </r>
  <r>
    <x v="28"/>
  </r>
  <r>
    <x v="28"/>
  </r>
  <r>
    <x v="318"/>
  </r>
  <r>
    <x v="319"/>
  </r>
  <r>
    <x v="3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4">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2">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3">
  <r>
    <x v="0"/>
    <n v="0.61399999999999999"/>
    <n v="514"/>
    <n v="54"/>
    <n v="38"/>
    <n v="438"/>
    <s v="adamsst01"/>
    <n v="29592696"/>
    <n v="1.4230769230769231"/>
  </r>
  <r>
    <x v="0"/>
    <n v="0.60199999999999998"/>
    <n v="780"/>
    <n v="95"/>
    <n v="48"/>
    <n v="1898"/>
    <s v="jokicni01"/>
    <n v="29542010"/>
    <n v="2.6981981981981984"/>
  </r>
  <r>
    <x v="0"/>
    <n v="0.54700000000000004"/>
    <n v="381"/>
    <n v="20"/>
    <n v="58"/>
    <n v="865"/>
    <s v="porzikr01"/>
    <n v="29467800"/>
    <n v="1.3333333333333333"/>
  </r>
  <r>
    <x v="0"/>
    <n v="0.55500000000000005"/>
    <n v="529"/>
    <n v="39"/>
    <n v="57"/>
    <n v="1239"/>
    <s v="townska01"/>
    <n v="29467800"/>
    <n v="1.40625"/>
  </r>
  <r>
    <x v="0"/>
    <n v="0.67500000000000004"/>
    <n v="960"/>
    <n v="40"/>
    <n v="190"/>
    <n v="1015"/>
    <s v="goberru01"/>
    <n v="27525281"/>
    <n v="0.75423728813559321"/>
  </r>
  <r>
    <x v="0"/>
    <n v="0.52800000000000002"/>
    <n v="188"/>
    <n v="25"/>
    <n v="26"/>
    <n v="398"/>
    <s v="horfoal01"/>
    <n v="27500000"/>
    <n v="3.2413793103448274"/>
  </r>
  <r>
    <x v="0"/>
    <n v="0.60599999999999998"/>
    <n v="776"/>
    <n v="35"/>
    <n v="57"/>
    <n v="1058"/>
    <s v="valanjo01"/>
    <n v="15000000"/>
    <n v="1.1200000000000001"/>
  </r>
  <r>
    <x v="0"/>
    <n v="0.57399999999999995"/>
    <n v="395"/>
    <n v="34"/>
    <n v="48"/>
    <n v="860"/>
    <s v="woodch01"/>
    <n v="13015873"/>
    <n v="0.88749999999999996"/>
  </r>
  <r>
    <x v="0"/>
    <n v="0.53200000000000003"/>
    <n v="332"/>
    <n v="38"/>
    <n v="39"/>
    <n v="424"/>
    <s v="nurkiju01"/>
    <n v="12888889"/>
    <n v="1.7123287671232876"/>
  </r>
  <r>
    <x v="0"/>
    <n v="0.63100000000000001"/>
    <n v="234"/>
    <n v="36"/>
    <n v="30"/>
    <n v="342"/>
    <s v="poweldw01"/>
    <n v="11080125"/>
    <n v="1.575"/>
  </r>
  <r>
    <x v="0"/>
    <n v="0.629"/>
    <n v="727"/>
    <n v="41"/>
    <n v="81"/>
    <n v="997"/>
    <s v="aytonde01"/>
    <n v="9562920"/>
    <n v="0.96116504854368934"/>
  </r>
  <r>
    <x v="0"/>
    <n v="0.63800000000000001"/>
    <n v="376"/>
    <n v="32"/>
    <n v="68"/>
    <n v="369"/>
    <s v="favorde01"/>
    <n v="9258000"/>
    <n v="1.2222222222222223"/>
  </r>
  <r>
    <x v="0"/>
    <n v="0.56299999999999994"/>
    <n v="275"/>
    <n v="9"/>
    <n v="47"/>
    <n v="454"/>
    <s v="ibakase01"/>
    <n v="9258000"/>
    <n v="1.6818181818181819"/>
  </r>
  <r>
    <x v="0"/>
    <n v="0.622"/>
    <n v="428"/>
    <n v="46"/>
    <n v="49"/>
    <n v="931"/>
    <s v="harremo01"/>
    <n v="9258000"/>
    <n v="0.98648648648648651"/>
  </r>
  <r>
    <x v="0"/>
    <n v="0.51600000000000001"/>
    <n v="190"/>
    <n v="30"/>
    <n v="4"/>
    <n v="437"/>
    <s v="saricda01"/>
    <n v="9250000"/>
    <n v="1.1403508771929824"/>
  </r>
  <r>
    <x v="0"/>
    <n v="0.53500000000000003"/>
    <n v="226"/>
    <n v="11"/>
    <n v="36"/>
    <n v="448"/>
    <s v="wisemja01"/>
    <n v="8730240"/>
    <n v="0.43333333333333335"/>
  </r>
  <r>
    <x v="0"/>
    <n v="0.61599999999999999"/>
    <n v="547"/>
    <n v="47"/>
    <n v="123"/>
    <n v="593"/>
    <s v="poeltja01"/>
    <n v="8101852"/>
    <n v="1.6144578313253013"/>
  </r>
  <r>
    <x v="0"/>
    <n v="0.49199999999999999"/>
    <n v="62"/>
    <n v="12"/>
    <n v="18"/>
    <n v="158"/>
    <s v="jacksja02"/>
    <n v="7257360"/>
    <n v="0.8"/>
  </r>
  <r>
    <x v="0"/>
    <n v="0.65400000000000003"/>
    <n v="519"/>
    <n v="24"/>
    <n v="62"/>
    <n v="650"/>
    <s v="zubaciv01"/>
    <n v="7000000"/>
    <n v="1.1111111111111112"/>
  </r>
  <r>
    <x v="0"/>
    <n v="0.63600000000000001"/>
    <n v="257"/>
    <n v="25"/>
    <n v="38"/>
    <n v="449"/>
    <s v="hayesja02"/>
    <n v="5105160"/>
    <n v="0.89743589743589747"/>
  </r>
  <r>
    <x v="0"/>
    <n v="0.432"/>
    <n v="115"/>
    <n v="13"/>
    <n v="13"/>
    <n v="48"/>
    <s v="davised01"/>
    <n v="5005350"/>
    <n v="3"/>
  </r>
  <r>
    <x v="0"/>
    <n v="0.63800000000000001"/>
    <n v="504"/>
    <n v="39"/>
    <n v="96"/>
    <n v="869"/>
    <s v="holmeri01"/>
    <n v="5005350"/>
    <n v="1.3466666666666667"/>
  </r>
  <r>
    <x v="0"/>
    <n v="0.60499999999999998"/>
    <n v="795"/>
    <n v="33"/>
    <n v="48"/>
    <n v="806"/>
    <s v="kanteen01"/>
    <n v="5005350"/>
    <n v="1.0769230769230769"/>
  </r>
  <r>
    <x v="0"/>
    <n v="0.55800000000000005"/>
    <n v="322"/>
    <n v="21"/>
    <n v="22"/>
    <n v="251"/>
    <s v="looneke01"/>
    <n v="4464226"/>
    <n v="3.2162162162162162"/>
  </r>
  <r>
    <x v="0"/>
    <n v="0.63500000000000001"/>
    <n v="236"/>
    <n v="21"/>
    <n v="43"/>
    <n v="280"/>
    <s v="caulewi01"/>
    <n v="4100000"/>
    <n v="1.2068965517241379"/>
  </r>
  <r>
    <x v="0"/>
    <n v="0.51200000000000001"/>
    <n v="128"/>
    <n v="2"/>
    <n v="6"/>
    <n v="156"/>
    <s v="marjabo01"/>
    <n v="3500000"/>
    <n v="0.83333333333333337"/>
  </r>
  <r>
    <x v="0"/>
    <n v="0.58199999999999996"/>
    <n v="215"/>
    <n v="26"/>
    <n v="58"/>
    <n v="262"/>
    <s v="gasolma01"/>
    <n v="2564753"/>
    <n v="2.0566037735849059"/>
  </r>
  <r>
    <x v="0"/>
    <n v="0.57299999999999995"/>
    <n v="132"/>
    <n v="8"/>
    <n v="11"/>
    <n v="339"/>
    <s v="muscami01"/>
    <n v="2283034"/>
    <n v="1.3333333333333333"/>
  </r>
  <r>
    <x v="0"/>
    <n v="0.44400000000000001"/>
    <n v="13"/>
    <n v="1"/>
    <n v="4"/>
    <n v="16"/>
    <s v="azubuud01"/>
    <n v="1977000"/>
    <n v="0"/>
  </r>
  <r>
    <x v="0"/>
    <n v="0.47399999999999998"/>
    <n v="133"/>
    <n v="8"/>
    <n v="13"/>
    <n v="108"/>
    <s v="gilesha01"/>
    <n v="1620564"/>
    <n v="1.45"/>
  </r>
  <r>
    <x v="0"/>
    <n v="0.53100000000000003"/>
    <n v="188"/>
    <n v="14"/>
    <n v="17"/>
    <n v="310"/>
    <s v="kaminfr01"/>
    <n v="1620564"/>
    <n v="3.5909090909090908"/>
  </r>
  <r>
    <x v="0"/>
    <n v="0.56499999999999995"/>
    <n v="334"/>
    <n v="22"/>
    <n v="23"/>
    <n v="365"/>
    <s v="hernawi01"/>
    <n v="1620564"/>
    <n v="1.4705882352941178"/>
  </r>
  <r>
    <x v="0"/>
    <n v="0.56299999999999994"/>
    <n v="215"/>
    <n v="9"/>
    <n v="46"/>
    <n v="293"/>
    <s v="whiteha01"/>
    <n v="1620564"/>
    <n v="0.5"/>
  </r>
  <r>
    <x v="0"/>
    <n v="0.57099999999999995"/>
    <n v="241"/>
    <n v="18"/>
    <n v="49"/>
    <n v="311"/>
    <s v="eubandr01"/>
    <n v="1620564"/>
    <n v="0.93333333333333335"/>
  </r>
  <r>
    <x v="0"/>
    <n v="0.57599999999999996"/>
    <n v="322"/>
    <n v="34"/>
    <n v="76"/>
    <n v="784"/>
    <s v="reidna01"/>
    <n v="1517981"/>
    <n v="1.0434782608695652"/>
  </r>
  <r>
    <x v="0"/>
    <n v="0.433"/>
    <n v="48"/>
    <n v="4"/>
    <n v="7"/>
    <n v="54"/>
    <s v="oturuda01"/>
    <n v="898310"/>
    <n v="1.1111111111111112"/>
  </r>
  <r>
    <x v="0"/>
    <n v="0.54500000000000004"/>
    <n v="112"/>
    <n v="14"/>
    <n v="18"/>
    <n v="226"/>
    <s v="metuch01"/>
    <n v="700000"/>
    <n v="0.96551724137931039"/>
  </r>
  <r>
    <x v="0"/>
    <n v="0.42099999999999999"/>
    <n v="24"/>
    <n v="5"/>
    <n v="8"/>
    <n v="57"/>
    <s v="tilliki02"/>
    <n v="449155"/>
    <n v="4"/>
  </r>
  <r>
    <x v="0"/>
    <n v="0.54500000000000004"/>
    <n v="383"/>
    <n v="31"/>
    <n v="47"/>
    <n v="370"/>
    <s v="brownmo01"/>
    <n v="449155"/>
    <n v="0.23255813953488372"/>
  </r>
  <r>
    <x v="0"/>
    <n v="0.54"/>
    <n v="817"/>
    <n v="65"/>
    <n v="48"/>
    <n v="1639"/>
    <s v="vucevni01"/>
    <n v="26000000"/>
    <n v="2.1349206349206349"/>
  </r>
  <r>
    <x v="0"/>
    <n v="0.52500000000000002"/>
    <n v="118"/>
    <n v="11"/>
    <n v="29"/>
    <n v="352"/>
    <s v="aldrila01"/>
    <n v="24000000"/>
    <n v="1.8148148148148149"/>
  </r>
  <r>
    <x v="0"/>
    <n v="0.52"/>
    <n v="443"/>
    <n v="35"/>
    <n v="42"/>
    <n v="606"/>
    <s v="cartewe01"/>
    <n v="5448840"/>
    <n v="1.3333333333333333"/>
  </r>
  <r>
    <x v="0"/>
    <n v="0.59299999999999997"/>
    <n v="356"/>
    <n v="41"/>
    <n v="57"/>
    <n v="627"/>
    <s v="theisda01"/>
    <n v="5000000"/>
    <n v="1.6363636363636365"/>
  </r>
  <r>
    <x v="0"/>
    <n v="0.52"/>
    <n v="239"/>
    <n v="19"/>
    <n v="54"/>
    <n v="337"/>
    <s v="mcgeeja01"/>
    <n v="4200000"/>
    <n v="0.65"/>
  </r>
  <r>
    <x v="0"/>
    <n v="0.624"/>
    <n v="631"/>
    <n v="32"/>
    <n v="90"/>
    <n v="806"/>
    <s v="allenja01"/>
    <n v="3909902"/>
    <n v="1.06"/>
  </r>
  <r>
    <x v="0"/>
    <n v="0.66500000000000004"/>
    <n v="239"/>
    <n v="15"/>
    <n v="30"/>
    <n v="300"/>
    <s v="bradlto01"/>
    <n v="3542060"/>
    <n v="1.1212121212121211"/>
  </r>
  <r>
    <x v="0"/>
    <n v="0.51400000000000001"/>
    <n v="387"/>
    <n v="48"/>
    <n v="50"/>
    <n v="482"/>
    <s v="birchkh01"/>
    <n v="3000000"/>
    <n v="2.0227272727272729"/>
  </r>
  <r>
    <x v="0"/>
    <n v="0.51"/>
    <n v="67"/>
    <n v="4"/>
    <n v="32"/>
    <n v="106"/>
    <s v="kornelu01"/>
    <n v="2250000"/>
    <n v="3.4285714285714284"/>
  </r>
  <r>
    <x v="0"/>
    <n v="0.55600000000000005"/>
    <n v="181"/>
    <n v="19"/>
    <n v="39"/>
    <n v="236"/>
    <s v="harteis01"/>
    <n v="1620564"/>
    <n v="1.25"/>
  </r>
  <r>
    <x v="0"/>
    <n v="0.68400000000000005"/>
    <n v="231"/>
    <n v="26"/>
    <n v="75"/>
    <n v="380"/>
    <s v="gaffoda01"/>
    <n v="1517981"/>
    <n v="0.70731707317073167"/>
  </r>
  <r>
    <x v="0"/>
    <n v="0.629"/>
    <n v="260"/>
    <n v="20"/>
    <n v="64"/>
    <n v="423"/>
    <s v="lenal01"/>
    <n v="1265372"/>
    <n v="0.89090909090909087"/>
  </r>
  <r>
    <x v="0"/>
    <n v="0.61299999999999999"/>
    <n v="140"/>
    <n v="26"/>
    <n v="16"/>
    <n v="258"/>
    <s v="dienggo01"/>
    <n v="1000000"/>
    <n v="1.5"/>
  </r>
  <r>
    <x v="0"/>
    <n v="0.49299999999999999"/>
    <n v="551"/>
    <n v="63"/>
    <n v="49"/>
    <n v="687"/>
    <s v="drumman01"/>
    <n v="794536"/>
    <n v="0.75806451612903225"/>
  </r>
  <r>
    <x v="0"/>
    <n v="0.53300000000000003"/>
    <n v="19"/>
    <n v="1"/>
    <n v="9"/>
    <n v="20"/>
    <s v="pelleno01"/>
    <n v="500000"/>
    <n v="0.66666666666666663"/>
  </r>
  <r>
    <x v="0"/>
    <n v="0.318"/>
    <n v="24"/>
    <n v="3"/>
    <n v="5"/>
    <n v="15"/>
    <s v="belljo01"/>
    <n v="449155"/>
    <n v="1.75"/>
  </r>
  <r>
    <x v="0"/>
    <n v="0.68400000000000005"/>
    <n v="121"/>
    <n v="11"/>
    <n v="29"/>
    <n v="183"/>
    <s v="jonesda03"/>
    <n v="237965"/>
    <n v="1.1153846153846154"/>
  </r>
  <r>
    <x v="0"/>
    <n v="0.503"/>
    <n v="263"/>
    <n v="34"/>
    <n v="24"/>
    <n v="366"/>
    <s v="couside01"/>
    <n v="233095"/>
    <n v="1.1875"/>
  </r>
  <r>
    <x v="0"/>
    <n v="0.52200000000000002"/>
    <n v="146"/>
    <n v="26"/>
    <n v="18"/>
    <n v="310"/>
    <s v="wagnemo01"/>
    <n v="221995"/>
    <n v="1.1627906976744187"/>
  </r>
  <r>
    <x v="0"/>
    <n v="0.54500000000000004"/>
    <n v="539"/>
    <n v="50"/>
    <n v="69"/>
    <n v="1451"/>
    <s v="embiijo01"/>
    <n v="29542010"/>
    <n v="0.91194968553459121"/>
  </r>
  <r>
    <x v="0"/>
    <n v="0.55700000000000005"/>
    <n v="306"/>
    <n v="40"/>
    <n v="159"/>
    <n v="592"/>
    <s v="turnemy01"/>
    <n v="18000000"/>
    <n v="0.71641791044776115"/>
  </r>
  <r>
    <x v="0"/>
    <n v="0.59399999999999997"/>
    <n v="903"/>
    <n v="44"/>
    <n v="129"/>
    <n v="956"/>
    <s v="capelca01"/>
    <n v="16000000"/>
    <n v="0.67123287671232879"/>
  </r>
  <r>
    <x v="0"/>
    <n v="0.56499999999999995"/>
    <n v="328"/>
    <n v="27"/>
    <n v="17"/>
    <n v="451"/>
    <s v="zelleco01"/>
    <n v="15415730"/>
    <n v="1.6862745098039216"/>
  </r>
  <r>
    <x v="0"/>
    <n v="0.57699999999999996"/>
    <n v="347"/>
    <n v="40"/>
    <n v="103"/>
    <n v="859"/>
    <s v="lopezbr01"/>
    <n v="12697674"/>
    <n v="0.78125"/>
  </r>
  <r>
    <x v="0"/>
    <n v="0.76300000000000001"/>
    <n v="427"/>
    <n v="17"/>
    <n v="65"/>
    <n v="426"/>
    <s v="jordade01"/>
    <n v="10375678"/>
    <n v="1.0941176470588236"/>
  </r>
  <r>
    <x v="0"/>
    <n v="0.64300000000000002"/>
    <n v="7"/>
    <n v="0"/>
    <n v="0"/>
    <n v="10"/>
    <s v="leoname01"/>
    <n v="9400000"/>
    <n v="1"/>
  </r>
  <r>
    <x v="0"/>
    <n v="0.51800000000000002"/>
    <n v="439"/>
    <n v="24"/>
    <n v="33"/>
    <n v="409"/>
    <s v="thomptr01"/>
    <n v="9258000"/>
    <n v="1.0806451612903225"/>
  </r>
  <r>
    <x v="0"/>
    <n v="0.69799999999999995"/>
    <n v="61"/>
    <n v="4"/>
    <n v="8"/>
    <n v="143"/>
    <s v="bryanth01"/>
    <n v="8333333"/>
    <n v="1.3636363636363635"/>
  </r>
  <r>
    <x v="0"/>
    <n v="0.61399999999999999"/>
    <n v="519"/>
    <n v="43"/>
    <n v="50"/>
    <n v="581"/>
    <s v="plumlma01"/>
    <n v="8000000"/>
    <n v="1.9238095238095239"/>
  </r>
  <r>
    <x v="0"/>
    <n v="0.53800000000000003"/>
    <n v="26"/>
    <n v="4"/>
    <n v="0"/>
    <n v="23"/>
    <s v="feliccr01"/>
    <n v="7529020"/>
    <n v="2.25"/>
  </r>
  <r>
    <x v="0"/>
    <n v="0.63900000000000001"/>
    <n v="272"/>
    <n v="15"/>
    <n v="44"/>
    <n v="642"/>
    <s v="lopezro01"/>
    <n v="7300000"/>
    <n v="0.73333333333333328"/>
  </r>
  <r>
    <x v="0"/>
    <n v="0.48499999999999999"/>
    <n v="273"/>
    <n v="17"/>
    <n v="22"/>
    <n v="324"/>
    <s v="baynear01"/>
    <n v="7000000"/>
    <n v="1.0217391304347827"/>
  </r>
  <r>
    <x v="0"/>
    <n v="0.59499999999999997"/>
    <n v="404"/>
    <n v="35"/>
    <n v="111"/>
    <n v="818"/>
    <s v="bouchch01"/>
    <n v="6750000"/>
    <n v="1.3695652173913044"/>
  </r>
  <r>
    <x v="0"/>
    <n v="0.53500000000000003"/>
    <n v="265"/>
    <n v="14"/>
    <n v="58"/>
    <n v="367"/>
    <s v="bambamo01"/>
    <n v="5969040"/>
    <n v="0.97222222222222221"/>
  </r>
  <r>
    <x v="0"/>
    <n v="0.64400000000000002"/>
    <n v="163"/>
    <n v="23"/>
    <n v="33"/>
    <n v="228"/>
    <s v="okongon01"/>
    <n v="5813640"/>
    <n v="0.62068965517241381"/>
  </r>
  <r>
    <x v="0"/>
    <n v="0.57099999999999995"/>
    <n v="573"/>
    <n v="75"/>
    <n v="66"/>
    <n v="1197"/>
    <s v="adebaba01"/>
    <n v="5115492"/>
    <n v="2.0473372781065087"/>
  </r>
  <r>
    <x v="0"/>
    <n v="0.61399999999999999"/>
    <n v="408"/>
    <n v="70"/>
    <n v="141"/>
    <n v="324"/>
    <s v="noelne01"/>
    <n v="5000000"/>
    <n v="0.70769230769230773"/>
  </r>
  <r>
    <x v="0"/>
    <n v="0.58499999999999996"/>
    <n v="466"/>
    <n v="52"/>
    <n v="26"/>
    <n v="754"/>
    <s v="portibo01"/>
    <n v="3623000"/>
    <n v="1.2678571428571428"/>
  </r>
  <r>
    <x v="0"/>
    <n v="0.58699999999999997"/>
    <n v="347"/>
    <n v="17"/>
    <n v="74"/>
    <n v="331"/>
    <s v="biyombi01"/>
    <n v="3500000"/>
    <n v="1.1408450704225352"/>
  </r>
  <r>
    <x v="0"/>
    <n v="0.57799999999999996"/>
    <n v="453"/>
    <n v="39"/>
    <n v="86"/>
    <n v="537"/>
    <s v="stewais01"/>
    <n v="3121080"/>
    <n v="0.88059701492537312"/>
  </r>
  <r>
    <x v="0"/>
    <n v="0.47899999999999998"/>
    <n v="150"/>
    <n v="9"/>
    <n v="60"/>
    <n v="231"/>
    <s v="bitadgo01"/>
    <n v="2957520"/>
    <n v="2.1764705882352939"/>
  </r>
  <r>
    <x v="0"/>
    <n v="0.72099999999999997"/>
    <n v="358"/>
    <n v="43"/>
    <n v="91"/>
    <n v="417"/>
    <s v="williro04"/>
    <n v="2029920"/>
    <n v="1.8076923076923077"/>
  </r>
  <r>
    <x v="0"/>
    <n v="0.627"/>
    <n v="66"/>
    <n v="6"/>
    <n v="5"/>
    <n v="145"/>
    <s v="okafoja01"/>
    <n v="1882867"/>
    <n v="0.61904761904761907"/>
  </r>
  <r>
    <x v="0"/>
    <n v="0.65300000000000002"/>
    <n v="252"/>
    <n v="35"/>
    <n v="45"/>
    <n v="256"/>
    <s v="robinmi01"/>
    <n v="1663861"/>
    <n v="0.65384615384615385"/>
  </r>
  <r>
    <x v="0"/>
    <n v="1"/>
    <n v="1"/>
    <n v="0"/>
    <n v="0"/>
    <n v="4"/>
    <s v="hasleud01"/>
    <n v="1620564"/>
    <n v="0"/>
  </r>
  <r>
    <x v="0"/>
    <n v="0.55600000000000005"/>
    <n v="18"/>
    <n v="2"/>
    <n v="4"/>
    <n v="30"/>
    <s v="makerth01"/>
    <n v="1620564"/>
    <n v="1.3333333333333333"/>
  </r>
  <r>
    <x v="0"/>
    <n v="0.59599999999999997"/>
    <n v="580"/>
    <n v="30"/>
    <n v="62"/>
    <n v="482"/>
    <s v="howardw01"/>
    <n v="1620564"/>
    <n v="0.5446428571428571"/>
  </r>
  <r>
    <x v="0"/>
    <n v="0"/>
    <n v="1"/>
    <n v="0"/>
    <n v="0"/>
    <n v="0"/>
    <s v="pasecan01"/>
    <n v="1517981"/>
    <n v="0.2"/>
  </r>
  <r>
    <x v="0"/>
    <n v="0.624"/>
    <n v="166"/>
    <n v="23"/>
    <n v="40"/>
    <n v="212"/>
    <s v="claxtni01"/>
    <n v="1517981"/>
    <n v="1.5555555555555556"/>
  </r>
  <r>
    <x v="0"/>
    <n v="0.40899999999999997"/>
    <n v="78"/>
    <n v="4"/>
    <n v="3"/>
    <n v="51"/>
    <s v="fernabr01"/>
    <n v="1517981"/>
    <n v="0.47619047619047616"/>
  </r>
  <r>
    <x v="0"/>
    <n v="0.63600000000000001"/>
    <n v="250"/>
    <n v="31"/>
    <n v="49"/>
    <n v="241"/>
    <s v="gibsota01"/>
    <n v="1442968"/>
    <n v="1.6363636363636365"/>
  </r>
  <r>
    <x v="0"/>
    <n v="0.51400000000000001"/>
    <n v="27"/>
    <n v="1"/>
    <n v="5"/>
    <n v="46"/>
    <s v="careyve01"/>
    <n v="1350000"/>
    <n v="0.4"/>
  </r>
  <r>
    <x v="0"/>
    <n v="0"/>
    <n v="1"/>
    <n v="0"/>
    <n v="0"/>
    <n v="0"/>
    <s v="vonleno01"/>
    <n v="1087776"/>
    <n v="0.5"/>
  </r>
  <r>
    <x v="0"/>
    <n v="0.625"/>
    <n v="8"/>
    <n v="0"/>
    <n v="5"/>
    <n v="13"/>
    <s v="brimaam01"/>
    <n v="449155"/>
    <n v="0.25"/>
  </r>
  <r>
    <x v="0"/>
    <n v="0.72399999999999998"/>
    <n v="52"/>
    <n v="1"/>
    <n v="20"/>
    <n v="47"/>
    <s v="fallta01"/>
    <n v="449155"/>
    <n v="0.5"/>
  </r>
  <r>
    <x v="0"/>
    <n v="0.71499999999999997"/>
    <n v="86"/>
    <n v="9"/>
    <n v="6"/>
    <n v="113"/>
    <s v="dedmode01"/>
    <n v="432890"/>
    <n v="0.92307692307692313"/>
  </r>
  <r>
    <x v="1"/>
    <n v="0.55700000000000005"/>
    <n v="359"/>
    <n v="62"/>
    <n v="24"/>
    <n v="1259"/>
    <s v="georgpa01"/>
    <n v="35450412"/>
    <n v="1.5642458100558658"/>
  </r>
  <r>
    <x v="1"/>
    <n v="0.56799999999999995"/>
    <n v="337"/>
    <n v="81"/>
    <n v="21"/>
    <n v="1292"/>
    <s v="leonaka01"/>
    <n v="34379100"/>
    <n v="2.5619047619047617"/>
  </r>
  <r>
    <x v="1"/>
    <n v="0.51200000000000001"/>
    <n v="286"/>
    <n v="45"/>
    <n v="59"/>
    <n v="786"/>
    <s v="davisan02"/>
    <n v="32742000"/>
    <n v="1.4864864864864864"/>
  </r>
  <r>
    <x v="1"/>
    <n v="0.54300000000000004"/>
    <n v="347"/>
    <n v="67"/>
    <n v="70"/>
    <n v="1320"/>
    <s v="wiggian01"/>
    <n v="29542010"/>
    <n v="1.3253968253968254"/>
  </r>
  <r>
    <x v="1"/>
    <n v="0.505"/>
    <n v="259"/>
    <n v="56"/>
    <n v="15"/>
    <n v="1316"/>
    <s v="derozde01"/>
    <n v="27739975"/>
    <n v="3.5462184873949578"/>
  </r>
  <r>
    <x v="1"/>
    <n v="0.53100000000000003"/>
    <n v="299"/>
    <n v="42"/>
    <n v="36"/>
    <n v="1450"/>
    <s v="ingrabr01"/>
    <n v="27285000"/>
    <n v="1.9220779220779221"/>
  </r>
  <r>
    <x v="1"/>
    <n v="0.49199999999999999"/>
    <n v="448"/>
    <n v="105"/>
    <n v="52"/>
    <n v="444"/>
    <s v="greendr01"/>
    <n v="22246956"/>
    <n v="2.9680851063829787"/>
  </r>
  <r>
    <x v="1"/>
    <n v="0.57499999999999996"/>
    <n v="385"/>
    <n v="43"/>
    <n v="11"/>
    <n v="933"/>
    <s v="barneha02"/>
    <n v="22215909"/>
    <n v="2.161290322580645"/>
  </r>
  <r>
    <x v="1"/>
    <n v="0.53600000000000003"/>
    <n v="281"/>
    <n v="45"/>
    <n v="4"/>
    <n v="1225"/>
    <s v="bogdabo02"/>
    <n v="17850000"/>
    <n v="1.0625"/>
  </r>
  <r>
    <x v="1"/>
    <n v="0.59199999999999997"/>
    <n v="234"/>
    <n v="34"/>
    <n v="15"/>
    <n v="765"/>
    <s v="morrima03"/>
    <n v="14888721"/>
    <n v="1.0175438596491229"/>
  </r>
  <r>
    <x v="1"/>
    <n v="0.505"/>
    <n v="303"/>
    <n v="45"/>
    <n v="40"/>
    <n v="716"/>
    <s v="gayru01"/>
    <n v="14500000"/>
    <n v="1.3538461538461539"/>
  </r>
  <r>
    <x v="1"/>
    <n v="0.501"/>
    <n v="329"/>
    <n v="57"/>
    <n v="42"/>
    <n v="849"/>
    <s v="oubreke01"/>
    <n v="14375000"/>
    <n v="1.0428571428571429"/>
  </r>
  <r>
    <x v="1"/>
    <n v="0.50700000000000001"/>
    <n v="226"/>
    <n v="50"/>
    <n v="23"/>
    <n v="711"/>
    <s v="bartowi01"/>
    <n v="13723214"/>
    <n v="1.8854166666666667"/>
  </r>
  <r>
    <x v="1"/>
    <n v="0.376"/>
    <n v="118"/>
    <n v="15"/>
    <n v="12"/>
    <n v="178"/>
    <s v="winslju01"/>
    <n v="13000000"/>
    <n v="1.3513513513513513"/>
  </r>
  <r>
    <x v="1"/>
    <n v="0.53300000000000003"/>
    <n v="466"/>
    <n v="101"/>
    <n v="84"/>
    <n v="593"/>
    <s v="covinro01"/>
    <n v="12138345"/>
    <n v="1.828125"/>
  </r>
  <r>
    <x v="1"/>
    <n v="0.48099999999999998"/>
    <n v="196"/>
    <n v="78"/>
    <n v="26"/>
    <n v="1151"/>
    <s v="brookdi01"/>
    <n v="11400000"/>
    <n v="1.319327731092437"/>
  </r>
  <r>
    <x v="1"/>
    <n v="0.65200000000000002"/>
    <n v="244"/>
    <n v="45"/>
    <n v="12"/>
    <n v="809"/>
    <s v="inglejo01"/>
    <n v="10863637"/>
    <n v="2.7179487179487181"/>
  </r>
  <r>
    <x v="1"/>
    <n v="0.61599999999999999"/>
    <n v="441"/>
    <n v="57"/>
    <n v="39"/>
    <n v="1647"/>
    <s v="willizi01"/>
    <n v="10245480"/>
    <n v="1.3532934131736527"/>
  </r>
  <r>
    <x v="1"/>
    <n v="0.54"/>
    <n v="396"/>
    <n v="84"/>
    <n v="57"/>
    <n v="854"/>
    <s v="anderky01"/>
    <n v="9505100"/>
    <n v="2.9069767441860463"/>
  </r>
  <r>
    <x v="1"/>
    <n v="0.55400000000000005"/>
    <n v="205"/>
    <n v="37"/>
    <n v="54"/>
    <n v="396"/>
    <s v="jonesde02"/>
    <n v="9258000"/>
    <n v="1.46875"/>
  </r>
  <r>
    <x v="1"/>
    <n v="0.55500000000000005"/>
    <n v="282"/>
    <n v="48"/>
    <n v="27"/>
    <n v="603"/>
    <s v="crowdja01"/>
    <n v="9258000"/>
    <n v="2.3090909090909091"/>
  </r>
  <r>
    <x v="1"/>
    <n v="0.54200000000000004"/>
    <n v="318"/>
    <n v="21"/>
    <n v="21"/>
    <n v="608"/>
    <s v="baglema01"/>
    <n v="8963640"/>
    <n v="0.72881355932203384"/>
  </r>
  <r>
    <x v="1"/>
    <n v="0.57999999999999996"/>
    <n v="485"/>
    <n v="57"/>
    <n v="32"/>
    <n v="496"/>
    <s v="onealro01"/>
    <n v="8500000"/>
    <n v="2.1807228915662651"/>
  </r>
  <r>
    <x v="1"/>
    <n v="0.57999999999999996"/>
    <n v="260"/>
    <n v="24"/>
    <n v="35"/>
    <n v="353"/>
    <s v="klebima01"/>
    <n v="8325000"/>
    <n v="2.2666666666666666"/>
  </r>
  <r>
    <x v="1"/>
    <n v="0.56799999999999995"/>
    <n v="277"/>
    <n v="26"/>
    <n v="22"/>
    <n v="471"/>
    <s v="greenja01"/>
    <n v="7199760"/>
    <n v="1"/>
  </r>
  <r>
    <x v="1"/>
    <n v="0.63500000000000001"/>
    <n v="24"/>
    <n v="13"/>
    <n v="5"/>
    <n v="73"/>
    <s v="milleda01"/>
    <n v="7000000"/>
    <n v="2.625"/>
  </r>
  <r>
    <x v="1"/>
    <n v="0.52700000000000002"/>
    <n v="205"/>
    <n v="19"/>
    <n v="7"/>
    <n v="375"/>
    <s v="hernaju01"/>
    <n v="6493000"/>
    <n v="1.2962962962962963"/>
  </r>
  <r>
    <x v="1"/>
    <n v="0.55600000000000005"/>
    <n v="86"/>
    <n v="6"/>
    <n v="1"/>
    <n v="115"/>
    <s v="lylestr01"/>
    <n v="5500000"/>
    <n v="2.3333333333333335"/>
  </r>
  <r>
    <x v="1"/>
    <n v="0.5"/>
    <n v="5"/>
    <n v="2"/>
    <n v="1"/>
    <n v="12"/>
    <s v="leaftj01"/>
    <n v="4326825"/>
    <n v="0.5"/>
  </r>
  <r>
    <x v="1"/>
    <n v="0.48"/>
    <n v="37"/>
    <n v="1"/>
    <n v="5"/>
    <n v="53"/>
    <s v="smithja04"/>
    <n v="4245720"/>
    <n v="0.5714285714285714"/>
  </r>
  <r>
    <x v="1"/>
    <n v="0.64300000000000002"/>
    <n v="309"/>
    <n v="76"/>
    <n v="63"/>
    <n v="970"/>
    <s v="bridgmi01"/>
    <n v="4161000"/>
    <n v="2.6666666666666665"/>
  </r>
  <r>
    <x v="1"/>
    <n v="0.49199999999999999"/>
    <n v="174"/>
    <n v="43"/>
    <n v="18"/>
    <n v="341"/>
    <s v="vassede01"/>
    <n v="4033440"/>
    <n v="2.5454545454545454"/>
  </r>
  <r>
    <x v="1"/>
    <n v="0.54100000000000004"/>
    <n v="199"/>
    <n v="37"/>
    <n v="16"/>
    <n v="573"/>
    <s v="johnsca02"/>
    <n v="4033440"/>
    <n v="2.15"/>
  </r>
  <r>
    <x v="1"/>
    <n v="0.6"/>
    <n v="326"/>
    <n v="52"/>
    <n v="25"/>
    <n v="590"/>
    <s v="finnedo01"/>
    <n v="4000000"/>
    <n v="2.125"/>
  </r>
  <r>
    <x v="1"/>
    <n v="0.49299999999999999"/>
    <n v="40"/>
    <n v="8"/>
    <n v="0"/>
    <n v="84"/>
    <s v="deckga01"/>
    <n v="3870370"/>
    <n v="4"/>
  </r>
  <r>
    <x v="1"/>
    <n v="0.55700000000000005"/>
    <n v="67"/>
    <n v="29"/>
    <n v="19"/>
    <n v="231"/>
    <s v="laymaja01"/>
    <n v="3761085"/>
    <n v="1.0769230769230769"/>
  </r>
  <r>
    <x v="1"/>
    <n v="0.504"/>
    <n v="132"/>
    <n v="20"/>
    <n v="16"/>
    <n v="315"/>
    <s v="houseda01"/>
    <n v="3717000"/>
    <n v="1.9166666666666667"/>
  </r>
  <r>
    <x v="1"/>
    <n v="0.53300000000000003"/>
    <n v="417"/>
    <n v="35"/>
    <n v="41"/>
    <n v="874"/>
    <s v="kuzmaky01"/>
    <n v="3562178"/>
    <n v="1.1238938053097345"/>
  </r>
  <r>
    <x v="1"/>
    <n v="0.64600000000000002"/>
    <n v="445"/>
    <n v="40"/>
    <n v="54"/>
    <n v="1162"/>
    <s v="portemi01"/>
    <n v="3550800"/>
    <n v="0.90909090909090906"/>
  </r>
  <r>
    <x v="1"/>
    <n v="0.53100000000000003"/>
    <n v="377"/>
    <n v="38"/>
    <n v="12"/>
    <n v="434"/>
    <s v="hartjo01"/>
    <n v="3491159"/>
    <n v="2.2244897959183674"/>
  </r>
  <r>
    <x v="1"/>
    <n v="0.55800000000000005"/>
    <n v="75"/>
    <n v="14"/>
    <n v="8"/>
    <n v="197"/>
    <s v="pattepa01"/>
    <n v="3077704"/>
    <n v="2.6363636363636362"/>
  </r>
  <r>
    <x v="1"/>
    <n v="0.41199999999999998"/>
    <n v="212"/>
    <n v="20"/>
    <n v="42"/>
    <n v="367"/>
    <s v="pokusal01"/>
    <n v="2964840"/>
    <n v="0.97979797979797978"/>
  </r>
  <r>
    <x v="1"/>
    <n v="0.505"/>
    <n v="68"/>
    <n v="8"/>
    <n v="8"/>
    <n v="122"/>
    <s v="samanlu01"/>
    <n v="2892000"/>
    <n v="0.75"/>
  </r>
  <r>
    <x v="1"/>
    <n v="0.53700000000000003"/>
    <n v="328"/>
    <n v="60"/>
    <n v="51"/>
    <n v="610"/>
    <s v="clarkbr01"/>
    <n v="2602920"/>
    <n v="2.8787878787878789"/>
  </r>
  <r>
    <x v="1"/>
    <n v="0.45600000000000002"/>
    <n v="396"/>
    <n v="29"/>
    <n v="25"/>
    <n v="754"/>
    <s v="bazleda01"/>
    <n v="2339160"/>
    <n v="0.81147540983606559"/>
  </r>
  <r>
    <x v="1"/>
    <n v="0.59599999999999997"/>
    <n v="65"/>
    <n v="8"/>
    <n v="4"/>
    <n v="136"/>
    <s v="nnajize01"/>
    <n v="2284800"/>
    <n v="1.4285714285714286"/>
  </r>
  <r>
    <x v="1"/>
    <n v="0.55100000000000005"/>
    <n v="128"/>
    <n v="5"/>
    <n v="13"/>
    <n v="220"/>
    <s v="littlna01"/>
    <n v="2210640"/>
    <n v="1.2777777777777777"/>
  </r>
  <r>
    <x v="1"/>
    <n v="0.50900000000000001"/>
    <n v="24"/>
    <n v="3"/>
    <n v="10"/>
    <n v="69"/>
    <s v="bolbo01"/>
    <n v="2058240"/>
    <n v="0.53846153846153844"/>
  </r>
  <r>
    <x v="1"/>
    <n v="0.52200000000000002"/>
    <n v="412"/>
    <n v="40"/>
    <n v="24"/>
    <n v="881"/>
    <s v="johnske04"/>
    <n v="2048040"/>
    <n v="1.5512820512820513"/>
  </r>
  <r>
    <x v="1"/>
    <n v="0.59599999999999997"/>
    <n v="273"/>
    <n v="55"/>
    <n v="17"/>
    <n v="526"/>
    <s v="willike04"/>
    <n v="2000000"/>
    <n v="2"/>
  </r>
  <r>
    <x v="1"/>
    <n v="0.54500000000000004"/>
    <n v="232"/>
    <n v="35"/>
    <n v="60"/>
    <n v="427"/>
    <s v="mcdanja02"/>
    <n v="1964760"/>
    <n v="1.5106382978723405"/>
  </r>
  <r>
    <x v="1"/>
    <n v="0.63300000000000001"/>
    <n v="14"/>
    <n v="3"/>
    <n v="1"/>
    <n v="22"/>
    <s v="portejo01"/>
    <n v="1900000"/>
    <n v="0.14285714285714285"/>
  </r>
  <r>
    <x v="1"/>
    <n v="0.39300000000000002"/>
    <n v="13"/>
    <n v="0"/>
    <n v="2"/>
    <n v="13"/>
    <s v="chrisma01"/>
    <n v="1824003"/>
    <n v="1"/>
  </r>
  <r>
    <x v="1"/>
    <n v="0.52500000000000002"/>
    <n v="118"/>
    <n v="30"/>
    <n v="21"/>
    <n v="276"/>
    <s v="nwabada01"/>
    <n v="1824003"/>
    <n v="1.8235294117647058"/>
  </r>
  <r>
    <x v="1"/>
    <n v="0.59"/>
    <n v="176"/>
    <n v="25"/>
    <n v="8"/>
    <n v="500"/>
    <s v="niangge01"/>
    <n v="1783557"/>
    <n v="1.1568627450980393"/>
  </r>
  <r>
    <x v="1"/>
    <n v="0.60199999999999998"/>
    <n v="54"/>
    <n v="7"/>
    <n v="0"/>
    <n v="122"/>
    <s v="mckinal01"/>
    <n v="1762796"/>
    <n v="1.2"/>
  </r>
  <r>
    <x v="1"/>
    <n v="0.56899999999999995"/>
    <n v="62"/>
    <n v="10"/>
    <n v="9"/>
    <n v="160"/>
    <s v="naderab01"/>
    <n v="1752950"/>
    <n v="1"/>
  </r>
  <r>
    <x v="1"/>
    <n v="0.48499999999999999"/>
    <n v="49"/>
    <n v="11"/>
    <n v="5"/>
    <n v="79"/>
    <s v="bateske01"/>
    <n v="1663861"/>
    <n v="1.7142857142857142"/>
  </r>
  <r>
    <x v="1"/>
    <n v="0.60799999999999998"/>
    <n v="368"/>
    <n v="64"/>
    <n v="46"/>
    <n v="344"/>
    <s v="vandeja01"/>
    <n v="1663361"/>
    <n v="1.4339622641509433"/>
  </r>
  <r>
    <x v="1"/>
    <n v="0.33300000000000002"/>
    <n v="21"/>
    <n v="1"/>
    <n v="1"/>
    <n v="6"/>
    <s v="dudleja01"/>
    <n v="1620564"/>
    <n v="2.5"/>
  </r>
  <r>
    <x v="1"/>
    <n v="0.505"/>
    <n v="45"/>
    <n v="4"/>
    <n v="3"/>
    <n v="121"/>
    <s v="robingl02"/>
    <n v="1620564"/>
    <n v="1.8181818181818181"/>
  </r>
  <r>
    <x v="1"/>
    <n v="0.50800000000000001"/>
    <n v="54"/>
    <n v="9"/>
    <n v="8"/>
    <n v="72"/>
    <s v="gabriwe01"/>
    <n v="1620564"/>
    <n v="0.73333333333333328"/>
  </r>
  <r>
    <x v="1"/>
    <n v="0.59699999999999998"/>
    <n v="316"/>
    <n v="69"/>
    <n v="37"/>
    <n v="540"/>
    <s v="batumni01"/>
    <n v="1620564"/>
    <n v="2.7924528301886791"/>
  </r>
  <r>
    <x v="1"/>
    <n v="0.49099999999999999"/>
    <n v="266"/>
    <n v="22"/>
    <n v="19"/>
    <n v="407"/>
    <s v="morrima02"/>
    <n v="1620564"/>
    <n v="1.3518518518518519"/>
  </r>
  <r>
    <x v="1"/>
    <n v="0.50600000000000001"/>
    <n v="214"/>
    <n v="46"/>
    <n v="38"/>
    <n v="924"/>
    <s v="anthoca01"/>
    <n v="1620564"/>
    <n v="1.7049180327868851"/>
  </r>
  <r>
    <x v="1"/>
    <n v="0.54500000000000004"/>
    <n v="229"/>
    <n v="69"/>
    <n v="33"/>
    <n v="481"/>
    <s v="bazemke01"/>
    <n v="1620564"/>
    <n v="1.3170731707317074"/>
  </r>
  <r>
    <x v="1"/>
    <n v="0.53300000000000003"/>
    <n v="28"/>
    <n v="4"/>
    <n v="1"/>
    <n v="35"/>
    <s v="morgaju01"/>
    <n v="1517981"/>
    <n v="2.25"/>
  </r>
  <r>
    <x v="1"/>
    <n v="0.48099999999999998"/>
    <n v="16"/>
    <n v="3"/>
    <n v="5"/>
    <n v="28"/>
    <s v="smailal01"/>
    <n v="1517981"/>
    <n v="0.8"/>
  </r>
  <r>
    <x v="1"/>
    <n v="0.52100000000000002"/>
    <n v="50"/>
    <n v="11"/>
    <n v="2"/>
    <n v="85"/>
    <s v="cancavl01"/>
    <n v="1517981"/>
    <n v="1"/>
  </r>
  <r>
    <x v="1"/>
    <n v="0.53200000000000003"/>
    <n v="30"/>
    <n v="8"/>
    <n v="3"/>
    <n v="139"/>
    <s v="jamesju01"/>
    <n v="1517981"/>
    <n v="1.4666666666666666"/>
  </r>
  <r>
    <x v="1"/>
    <n v="0.52700000000000002"/>
    <n v="128"/>
    <n v="12"/>
    <n v="7"/>
    <n v="381"/>
    <s v="pascher01"/>
    <n v="1517981"/>
    <n v="1.1860465116279071"/>
  </r>
  <r>
    <x v="1"/>
    <n v="0.52"/>
    <n v="341"/>
    <n v="52"/>
    <n v="37"/>
    <n v="533"/>
    <s v="robyis01"/>
    <n v="1517981"/>
    <n v="0.94690265486725667"/>
  </r>
  <r>
    <x v="1"/>
    <n v="0.42499999999999999"/>
    <n v="16"/>
    <n v="0"/>
    <n v="3"/>
    <n v="20"/>
    <s v="woodaro01"/>
    <n v="1500000"/>
    <n v="2"/>
  </r>
  <r>
    <x v="1"/>
    <n v="0.55400000000000005"/>
    <n v="374"/>
    <n v="85"/>
    <n v="36"/>
    <n v="794"/>
    <s v="tateja01"/>
    <n v="1445697"/>
    <n v="1.8163265306122449"/>
  </r>
  <r>
    <x v="1"/>
    <n v="0.53800000000000003"/>
    <n v="9"/>
    <n v="0"/>
    <n v="0"/>
    <n v="15"/>
    <s v="nunnaja01"/>
    <n v="1349383"/>
    <n v="1.5"/>
  </r>
  <r>
    <x v="1"/>
    <n v="0.59499999999999997"/>
    <n v="256"/>
    <n v="44"/>
    <n v="33"/>
    <n v="390"/>
    <s v="tillmxa01"/>
    <n v="1300000"/>
    <n v="1.6666666666666667"/>
  </r>
  <r>
    <x v="1"/>
    <n v="0.53700000000000003"/>
    <n v="262"/>
    <n v="51"/>
    <n v="36"/>
    <n v="502"/>
    <s v="millspa01"/>
    <n v="1000000"/>
    <n v="1.9215686274509804"/>
  </r>
  <r>
    <x v="1"/>
    <n v="0.432"/>
    <n v="32"/>
    <n v="6"/>
    <n v="3"/>
    <n v="68"/>
    <s v="ellebcj01"/>
    <n v="898310"/>
    <n v="2"/>
  </r>
  <r>
    <x v="1"/>
    <n v="0.46700000000000003"/>
    <n v="9"/>
    <n v="1"/>
    <n v="1"/>
    <n v="31"/>
    <s v="hugheel01"/>
    <n v="898310"/>
    <n v="1"/>
  </r>
  <r>
    <x v="1"/>
    <n v="0.56399999999999995"/>
    <n v="242"/>
    <n v="30"/>
    <n v="41"/>
    <n v="419"/>
    <s v="martike04"/>
    <n v="898310"/>
    <n v="1.263157894736842"/>
  </r>
  <r>
    <x v="1"/>
    <n v="0.55600000000000005"/>
    <n v="29"/>
    <n v="10"/>
    <n v="3"/>
    <n v="65"/>
    <s v="ilyaser01"/>
    <n v="754783"/>
    <n v="0.5"/>
  </r>
  <r>
    <x v="1"/>
    <n v="0.34100000000000003"/>
    <n v="19"/>
    <n v="0"/>
    <n v="1"/>
    <n v="18"/>
    <s v="beyty01"/>
    <n v="449155"/>
    <n v="1"/>
  </r>
  <r>
    <x v="1"/>
    <n v="0.47"/>
    <n v="19"/>
    <n v="2"/>
    <n v="3"/>
    <n v="39"/>
    <s v="mcderse01"/>
    <n v="449155"/>
    <n v="1"/>
  </r>
  <r>
    <x v="1"/>
    <n v="0.55900000000000005"/>
    <n v="18"/>
    <n v="7"/>
    <n v="3"/>
    <n v="44"/>
    <s v="kinglo02"/>
    <n v="449155"/>
    <n v="2.25"/>
  </r>
  <r>
    <x v="1"/>
    <n v="0.3"/>
    <n v="10"/>
    <n v="2"/>
    <n v="0"/>
    <n v="12"/>
    <s v="blevike01"/>
    <n v="449155"/>
    <n v="0.8"/>
  </r>
  <r>
    <x v="1"/>
    <n v="0.58599999999999997"/>
    <n v="32"/>
    <n v="5"/>
    <n v="4"/>
    <n v="39"/>
    <s v="cacokde01"/>
    <n v="449155"/>
    <n v="0.2"/>
  </r>
  <r>
    <x v="1"/>
    <n v="0.59599999999999997"/>
    <n v="27"/>
    <n v="7"/>
    <n v="2"/>
    <n v="64"/>
    <s v="brantja01"/>
    <n v="449155"/>
    <n v="1.875"/>
  </r>
  <r>
    <x v="1"/>
    <n v="0.3"/>
    <n v="19"/>
    <n v="2"/>
    <n v="4"/>
    <n v="12"/>
    <s v="antetko01"/>
    <n v="449155"/>
    <n v="9.0909090909090912E-2"/>
  </r>
  <r>
    <x v="1"/>
    <n v="0.5"/>
    <n v="65"/>
    <n v="13"/>
    <n v="5"/>
    <n v="116"/>
    <s v="hoardja01"/>
    <n v="449155"/>
    <n v="1.411764705882353"/>
  </r>
  <r>
    <x v="1"/>
    <n v="0.48699999999999999"/>
    <n v="70"/>
    <n v="6"/>
    <n v="5"/>
    <n v="133"/>
    <s v="lamban01"/>
    <n v="449155"/>
    <n v="1.2105263157894737"/>
  </r>
  <r>
    <x v="1"/>
    <n v="0.32300000000000001"/>
    <n v="59"/>
    <n v="4"/>
    <n v="1"/>
    <n v="86"/>
    <s v="halljo01"/>
    <n v="449155"/>
    <n v="1.1200000000000001"/>
  </r>
  <r>
    <x v="1"/>
    <n v="0.46200000000000002"/>
    <n v="148"/>
    <n v="26"/>
    <n v="10"/>
    <n v="246"/>
    <s v="marshna01"/>
    <n v="120000"/>
    <n v="2.3157894736842106"/>
  </r>
  <r>
    <x v="1"/>
    <n v="0.51800000000000002"/>
    <n v="152"/>
    <n v="16"/>
    <n v="4"/>
    <n v="271"/>
    <s v="porteot01"/>
    <n v="28489237"/>
    <n v="2.2000000000000002"/>
  </r>
  <r>
    <x v="1"/>
    <n v="0.52200000000000002"/>
    <n v="284"/>
    <n v="33"/>
    <n v="34"/>
    <n v="618"/>
    <s v="gordoaa01"/>
    <n v="18136364"/>
    <n v="1.6597938144329898"/>
  </r>
  <r>
    <x v="1"/>
    <n v="0.56499999999999995"/>
    <n v="128"/>
    <n v="47"/>
    <n v="19"/>
    <n v="719"/>
    <s v="fournev01"/>
    <n v="17150000"/>
    <n v="1.9726027397260273"/>
  </r>
  <r>
    <x v="1"/>
    <n v="0.49399999999999999"/>
    <n v="177"/>
    <n v="42"/>
    <n v="42"/>
    <n v="368"/>
    <s v="johnsja01"/>
    <n v="16047100"/>
    <n v="1.7818181818181817"/>
  </r>
  <r>
    <x v="1"/>
    <n v="0.57399999999999995"/>
    <n v="489"/>
    <n v="79"/>
    <n v="42"/>
    <n v="945"/>
    <s v="olynyke01"/>
    <n v="12598243"/>
    <n v="1.6111111111111112"/>
  </r>
  <r>
    <x v="1"/>
    <n v="0.495"/>
    <n v="142"/>
    <n v="28"/>
    <n v="23"/>
    <n v="389"/>
    <s v="princta02"/>
    <n v="12250000"/>
    <n v="1.6170212765957446"/>
  </r>
  <r>
    <x v="1"/>
    <n v="0.42699999999999999"/>
    <n v="103"/>
    <n v="24"/>
    <n v="7"/>
    <n v="246"/>
    <s v="hoodro01"/>
    <n v="10047450"/>
    <n v="1.4722222222222223"/>
  </r>
  <r>
    <x v="1"/>
    <n v="0.42399999999999999"/>
    <n v="110"/>
    <n v="19"/>
    <n v="9"/>
    <n v="102"/>
    <s v="aminual01"/>
    <n v="9720900"/>
    <n v="1.1071428571428572"/>
  </r>
  <r>
    <x v="1"/>
    <n v="0.48599999999999999"/>
    <n v="204"/>
    <n v="39"/>
    <n v="20"/>
    <n v="193"/>
    <s v="tuckepj01"/>
    <n v="7969537"/>
    <n v="1.5249999999999999"/>
  </r>
  <r>
    <x v="1"/>
    <n v="0.49399999999999999"/>
    <n v="112"/>
    <n v="11"/>
    <n v="16"/>
    <n v="183"/>
    <s v="wilsodj01"/>
    <n v="4548280"/>
    <n v="1.0454545454545454"/>
  </r>
  <r>
    <x v="1"/>
    <n v="0.40799999999999997"/>
    <n v="122"/>
    <n v="14"/>
    <n v="3"/>
    <n v="134"/>
    <s v="mellini01"/>
    <n v="4102564"/>
    <n v="3.6666666666666665"/>
  </r>
  <r>
    <x v="1"/>
    <n v="0.48799999999999999"/>
    <n v="89"/>
    <n v="30"/>
    <n v="20"/>
    <n v="194"/>
    <s v="harklma01"/>
    <n v="3623000"/>
    <n v="2"/>
  </r>
  <r>
    <x v="1"/>
    <n v="0.50700000000000001"/>
    <n v="105"/>
    <n v="10"/>
    <n v="6"/>
    <n v="161"/>
    <s v="browntr01"/>
    <n v="3219480"/>
    <n v="1.3809523809523809"/>
  </r>
  <r>
    <x v="1"/>
    <n v="0.41699999999999998"/>
    <n v="78"/>
    <n v="12"/>
    <n v="5"/>
    <n v="107"/>
    <s v="hutchch01"/>
    <n v="2443440"/>
    <n v="0.85"/>
  </r>
  <r>
    <x v="1"/>
    <n v="0.42"/>
    <n v="115"/>
    <n v="13"/>
    <n v="7"/>
    <n v="119"/>
    <s v="clarkga01"/>
    <n v="2000000"/>
    <n v="1.8235294117647058"/>
  </r>
  <r>
    <x v="1"/>
    <n v="0.438"/>
    <n v="23"/>
    <n v="9"/>
    <n v="4"/>
    <n v="31"/>
    <s v="kurucro01"/>
    <n v="1780152"/>
    <n v="0.76923076923076927"/>
  </r>
  <r>
    <x v="1"/>
    <n v="0.35799999999999998"/>
    <n v="90"/>
    <n v="15"/>
    <n v="4"/>
    <n v="99"/>
    <s v="iwundwe01"/>
    <n v="1678854"/>
    <n v="0.94736842105263153"/>
  </r>
  <r>
    <x v="1"/>
    <n v="0.50600000000000001"/>
    <n v="272"/>
    <n v="41"/>
    <n v="24"/>
    <n v="604"/>
    <s v="diallha01"/>
    <n v="1663861"/>
    <n v="1.3289473684210527"/>
  </r>
  <r>
    <x v="1"/>
    <n v="0.51500000000000001"/>
    <n v="163"/>
    <n v="51"/>
    <n v="12"/>
    <n v="559"/>
    <s v="mykhasv01"/>
    <n v="1663861"/>
    <n v="1.25"/>
  </r>
  <r>
    <x v="1"/>
    <n v="0.56599999999999995"/>
    <n v="197"/>
    <n v="28"/>
    <n v="26"/>
    <n v="274"/>
    <s v="craigto01"/>
    <n v="1620564"/>
    <n v="1.96"/>
  </r>
  <r>
    <x v="1"/>
    <n v="0.65600000000000003"/>
    <n v="27"/>
    <n v="1"/>
    <n v="6"/>
    <n v="32"/>
    <s v="silvach01"/>
    <n v="1517981"/>
    <n v="0.6"/>
  </r>
  <r>
    <x v="1"/>
    <n v="0.56899999999999995"/>
    <n v="71"/>
    <n v="28"/>
    <n v="6"/>
    <n v="146"/>
    <s v="greenja02"/>
    <n v="1517981"/>
    <n v="0.89473684210526316"/>
  </r>
  <r>
    <x v="1"/>
    <n v="0.50900000000000001"/>
    <n v="225"/>
    <n v="32"/>
    <n v="15"/>
    <n v="505"/>
    <s v="griffbl01"/>
    <n v="776983"/>
    <n v="2.2580645161290325"/>
  </r>
  <r>
    <x v="1"/>
    <n v="0.48399999999999999"/>
    <n v="77"/>
    <n v="15"/>
    <n v="2"/>
    <n v="245"/>
    <s v="jacksju01"/>
    <n v="449155"/>
    <n v="1.625"/>
  </r>
  <r>
    <x v="1"/>
    <n v="0.52300000000000002"/>
    <n v="127"/>
    <n v="15"/>
    <n v="5"/>
    <n v="242"/>
    <s v="bjeline01"/>
    <n v="432890"/>
    <n v="2.0909090909090908"/>
  </r>
  <r>
    <x v="1"/>
    <n v="0.56399999999999995"/>
    <n v="42"/>
    <n v="1"/>
    <n v="5"/>
    <n v="72"/>
    <s v="parkeja01"/>
    <n v="430729"/>
    <n v="1.1000000000000001"/>
  </r>
  <r>
    <x v="1"/>
    <n v="0.67500000000000004"/>
    <n v="95"/>
    <n v="8"/>
    <n v="2"/>
    <n v="156"/>
    <s v="cookty01"/>
    <n v="396081"/>
    <n v="0.80952380952380953"/>
  </r>
  <r>
    <x v="1"/>
    <n v="0.44400000000000001"/>
    <n v="60"/>
    <n v="8"/>
    <n v="13"/>
    <n v="95"/>
    <s v="kabenmf01"/>
    <n v="154433"/>
    <n v="1.1333333333333333"/>
  </r>
  <r>
    <x v="1"/>
    <n v="0.48799999999999999"/>
    <n v="45"/>
    <n v="4"/>
    <n v="3"/>
    <n v="91"/>
    <s v="brazdig01"/>
    <n v="49510"/>
    <n v="1.4166666666666667"/>
  </r>
  <r>
    <x v="1"/>
    <n v="0.60799999999999998"/>
    <n v="247"/>
    <n v="25"/>
    <n v="45"/>
    <n v="943"/>
    <s v="duranke01"/>
    <n v="40108950"/>
    <n v="1.625"/>
  </r>
  <r>
    <x v="1"/>
    <n v="0.51400000000000001"/>
    <n v="359"/>
    <n v="108"/>
    <n v="18"/>
    <n v="1116"/>
    <s v="butleji01"/>
    <n v="34379100"/>
    <n v="3.3853211009174311"/>
  </r>
  <r>
    <x v="1"/>
    <n v="0.55600000000000005"/>
    <n v="419"/>
    <n v="55"/>
    <n v="51"/>
    <n v="1210"/>
    <s v="harrito02"/>
    <n v="34358850"/>
    <n v="2.05607476635514"/>
  </r>
  <r>
    <x v="1"/>
    <n v="0.54600000000000004"/>
    <n v="406"/>
    <n v="74"/>
    <n v="9"/>
    <n v="1385"/>
    <s v="middlkh01"/>
    <n v="33051724"/>
    <n v="2.0786516853932584"/>
  </r>
  <r>
    <x v="1"/>
    <n v="0.52200000000000002"/>
    <n v="186"/>
    <n v="16"/>
    <n v="2"/>
    <n v="305"/>
    <s v="loveke01"/>
    <n v="31258256"/>
    <n v="1.6578947368421053"/>
  </r>
  <r>
    <x v="1"/>
    <n v="0.49299999999999999"/>
    <n v="405"/>
    <n v="64"/>
    <n v="37"/>
    <n v="1196"/>
    <s v="siakapa01"/>
    <n v="30559200"/>
    <n v="1.9230769230769231"/>
  </r>
  <r>
    <x v="1"/>
    <n v="0.53700000000000003"/>
    <n v="258"/>
    <n v="52"/>
    <n v="14"/>
    <n v="863"/>
    <s v="haywago01"/>
    <n v="28500000"/>
    <n v="1.9890109890109891"/>
  </r>
  <r>
    <x v="1"/>
    <n v="0.6"/>
    <n v="671"/>
    <n v="72"/>
    <n v="73"/>
    <n v="1717"/>
    <s v="antetgi01"/>
    <n v="27528090"/>
    <n v="1.7246376811594204"/>
  </r>
  <r>
    <x v="1"/>
    <n v="0.56399999999999995"/>
    <n v="742"/>
    <n v="76"/>
    <n v="33"/>
    <n v="1260"/>
    <s v="sabondo01"/>
    <n v="19800000"/>
    <n v="1.948356807511737"/>
  </r>
  <r>
    <x v="1"/>
    <n v="0.54200000000000004"/>
    <n v="211"/>
    <n v="30"/>
    <n v="10"/>
    <n v="676"/>
    <s v="gallida01"/>
    <n v="19500000"/>
    <n v="1.7674418604651163"/>
  </r>
  <r>
    <x v="1"/>
    <n v="0.49099999999999999"/>
    <n v="250"/>
    <n v="35"/>
    <n v="58"/>
    <n v="1205"/>
    <s v="grantje01"/>
    <n v="19050000"/>
    <n v="1.3944954128440368"/>
  </r>
  <r>
    <x v="1"/>
    <n v="0.51600000000000001"/>
    <n v="723"/>
    <n v="64"/>
    <n v="18"/>
    <n v="1712"/>
    <s v="randlju01"/>
    <n v="18900000"/>
    <n v="1.7717842323651452"/>
  </r>
  <r>
    <x v="1"/>
    <n v="0.65400000000000003"/>
    <n v="248"/>
    <n v="46"/>
    <n v="14"/>
    <n v="974"/>
    <s v="harrijo01"/>
    <n v="16071429"/>
    <n v="2.096774193548387"/>
  </r>
  <r>
    <x v="1"/>
    <n v="0.57299999999999995"/>
    <n v="260"/>
    <n v="92"/>
    <n v="56"/>
    <n v="654"/>
    <s v="greenda02"/>
    <n v="15365853"/>
    <n v="1.7611940298507462"/>
  </r>
  <r>
    <x v="1"/>
    <n v="0.58099999999999996"/>
    <n v="168"/>
    <n v="33"/>
    <n v="13"/>
    <n v="655"/>
    <s v="bertada01"/>
    <n v="15000000"/>
    <n v="1.4848484848484849"/>
  </r>
  <r>
    <x v="1"/>
    <n v="0.504"/>
    <n v="221"/>
    <n v="57"/>
    <n v="35"/>
    <n v="275"/>
    <s v="iguodan01"/>
    <n v="15000000"/>
    <n v="2.1194029850746268"/>
  </r>
  <r>
    <x v="1"/>
    <n v="0.56799999999999995"/>
    <n v="423"/>
    <n v="74"/>
    <n v="40"/>
    <n v="823"/>
    <s v="youngth01"/>
    <n v="13545000"/>
    <n v="2.1240875912408761"/>
  </r>
  <r>
    <x v="1"/>
    <n v="0.51500000000000001"/>
    <n v="144"/>
    <n v="31"/>
    <n v="18"/>
    <n v="282"/>
    <s v="arizatr01"/>
    <n v="12800000"/>
    <n v="2.6190476190476191"/>
  </r>
  <r>
    <x v="1"/>
    <n v="0.52900000000000003"/>
    <n v="14"/>
    <n v="2"/>
    <n v="0"/>
    <n v="62"/>
    <s v="warretj01"/>
    <n v="12500000"/>
    <n v="1.25"/>
  </r>
  <r>
    <x v="1"/>
    <n v="0.54600000000000004"/>
    <n v="235"/>
    <n v="61"/>
    <n v="17"/>
    <n v="327"/>
    <s v="nancela02"/>
    <n v="11709091"/>
    <n v="1.9454545454545455"/>
  </r>
  <r>
    <x v="1"/>
    <n v="0.53"/>
    <n v="472"/>
    <n v="75"/>
    <n v="31"/>
    <n v="1692"/>
    <s v="tatumja01"/>
    <n v="9897120"/>
    <n v="1.6140350877192982"/>
  </r>
  <r>
    <x v="1"/>
    <n v="0.45800000000000002"/>
    <n v="201"/>
    <n v="53"/>
    <n v="9"/>
    <n v="613"/>
    <s v="osmande01"/>
    <n v="8840580"/>
    <n v="2.1749999999999998"/>
  </r>
  <r>
    <x v="1"/>
    <n v="0.54600000000000004"/>
    <n v="110"/>
    <n v="19"/>
    <n v="12"/>
    <n v="344"/>
    <s v="huntede01"/>
    <n v="7422000"/>
    <n v="1.5172413793103448"/>
  </r>
  <r>
    <x v="1"/>
    <n v="0.61599999999999999"/>
    <n v="221"/>
    <n v="20"/>
    <n v="6"/>
    <n v="899"/>
    <s v="mcderdo01"/>
    <n v="7333333"/>
    <n v="1.6037735849056605"/>
  </r>
  <r>
    <x v="1"/>
    <n v="0.53400000000000003"/>
    <n v="327"/>
    <n v="64"/>
    <n v="46"/>
    <n v="655"/>
    <s v="willipa01"/>
    <n v="7068360"/>
    <n v="1.010204081632653"/>
  </r>
  <r>
    <x v="1"/>
    <n v="0.59399999999999997"/>
    <n v="268"/>
    <n v="26"/>
    <n v="15"/>
    <n v="695"/>
    <s v="markkla01"/>
    <n v="6731508"/>
    <n v="0.86538461538461542"/>
  </r>
  <r>
    <x v="1"/>
    <n v="0.48599999999999999"/>
    <n v="120"/>
    <n v="24"/>
    <n v="14"/>
    <n v="213"/>
    <s v="scottmi01"/>
    <n v="5005350"/>
    <n v="2.1052631578947367"/>
  </r>
  <r>
    <x v="1"/>
    <n v="0.56000000000000005"/>
    <n v="138"/>
    <n v="17"/>
    <n v="15"/>
    <n v="253"/>
    <s v="toppiob01"/>
    <n v="4862040"/>
    <n v="1.2608695652173914"/>
  </r>
  <r>
    <x v="1"/>
    <n v="0.51300000000000001"/>
    <n v="312"/>
    <n v="44"/>
    <n v="7"/>
    <n v="789"/>
    <s v="hachiru01"/>
    <n v="4692840"/>
    <n v="1.2058823529411764"/>
  </r>
  <r>
    <x v="1"/>
    <n v="0.51400000000000001"/>
    <n v="61"/>
    <n v="12"/>
    <n v="6"/>
    <n v="163"/>
    <s v="knoxke01"/>
    <n v="4588680"/>
    <n v="1.1176470588235294"/>
  </r>
  <r>
    <x v="1"/>
    <n v="0.502"/>
    <n v="262"/>
    <n v="32"/>
    <n v="15"/>
    <n v="342"/>
    <s v="avdijde01"/>
    <n v="4469160"/>
    <n v="1.9090909090909092"/>
  </r>
  <r>
    <x v="1"/>
    <n v="0.42799999999999999"/>
    <n v="104"/>
    <n v="33"/>
    <n v="9"/>
    <n v="292"/>
    <s v="reddica01"/>
    <n v="4458000"/>
    <n v="1.0294117647058822"/>
  </r>
  <r>
    <x v="1"/>
    <n v="0.58699999999999997"/>
    <n v="223"/>
    <n v="52"/>
    <n v="11"/>
    <n v="709"/>
    <s v="bullore01"/>
    <n v="4200000"/>
    <n v="2.2000000000000002"/>
  </r>
  <r>
    <x v="1"/>
    <n v="0.61"/>
    <n v="467"/>
    <n v="34"/>
    <n v="63"/>
    <n v="1111"/>
    <s v="collijo01"/>
    <n v="4137302"/>
    <n v="0.9285714285714286"/>
  </r>
  <r>
    <x v="1"/>
    <n v="0.52200000000000002"/>
    <n v="418"/>
    <n v="69"/>
    <n v="79"/>
    <n v="824"/>
    <s v="washipj01"/>
    <n v="4023600"/>
    <n v="1.2578125"/>
  </r>
  <r>
    <x v="1"/>
    <n v="1"/>
    <n v="3"/>
    <n v="2"/>
    <n v="0"/>
    <n v="5"/>
    <s v="mccawpa01"/>
    <n v="4000000"/>
    <n v="0"/>
  </r>
  <r>
    <x v="1"/>
    <n v="0.59599999999999997"/>
    <n v="397"/>
    <n v="44"/>
    <n v="52"/>
    <n v="840"/>
    <s v="bridgmi02"/>
    <n v="3934320"/>
    <n v="1.3867924528301887"/>
  </r>
  <r>
    <x v="1"/>
    <n v="0.57999999999999996"/>
    <n v="237"/>
    <n v="66"/>
    <n v="32"/>
    <n v="682"/>
    <s v="anunoog01"/>
    <n v="3872215"/>
    <n v="1.2533333333333334"/>
  </r>
  <r>
    <x v="1"/>
    <n v="0.47899999999999998"/>
    <n v="153"/>
    <n v="52"/>
    <n v="18"/>
    <n v="267"/>
    <s v="johnsst04"/>
    <n v="3804150"/>
    <n v="1.6481481481481481"/>
  </r>
  <r>
    <x v="1"/>
    <n v="0.55100000000000005"/>
    <n v="127"/>
    <n v="15"/>
    <n v="9"/>
    <n v="218"/>
    <s v="nesmiaa01"/>
    <n v="3458400"/>
    <n v="1"/>
  </r>
  <r>
    <x v="1"/>
    <n v="0.42599999999999999"/>
    <n v="143"/>
    <n v="24"/>
    <n v="9"/>
    <n v="285"/>
    <s v="doumbse01"/>
    <n v="3449400"/>
    <n v="1.0681818181818181"/>
  </r>
  <r>
    <x v="1"/>
    <n v="0.56599999999999995"/>
    <n v="166"/>
    <n v="32"/>
    <n v="7"/>
    <n v="345"/>
    <s v="ennisja01"/>
    <n v="3300000"/>
    <n v="1.7222222222222223"/>
  </r>
  <r>
    <x v="1"/>
    <n v="0.49199999999999999"/>
    <n v="181"/>
    <n v="48"/>
    <n v="22"/>
    <n v="349"/>
    <s v="okekech01"/>
    <n v="3121080"/>
    <n v="2.6578947368421053"/>
  </r>
  <r>
    <x v="1"/>
    <n v="0.53"/>
    <n v="318"/>
    <n v="52"/>
    <n v="14"/>
    <n v="857"/>
    <s v="beysa01"/>
    <n v="2689920"/>
    <n v="1.5833333333333333"/>
  </r>
  <r>
    <x v="1"/>
    <n v="0.54400000000000004"/>
    <n v="208"/>
    <n v="20"/>
    <n v="28"/>
    <n v="304"/>
    <s v="achiupr01"/>
    <n v="2582160"/>
    <n v="0.67441860465116277"/>
  </r>
  <r>
    <x v="1"/>
    <n v="0.53400000000000003"/>
    <n v="178"/>
    <n v="32"/>
    <n v="24"/>
    <n v="294"/>
    <s v="willigr01"/>
    <n v="2498760"/>
    <n v="1.1428571428571428"/>
  </r>
  <r>
    <x v="1"/>
    <n v="0.53800000000000003"/>
    <n v="107"/>
    <n v="19"/>
    <n v="12"/>
    <n v="161"/>
    <s v="windldy01"/>
    <n v="2137440"/>
    <n v="1.03125"/>
  </r>
  <r>
    <x v="1"/>
    <n v="0.53400000000000003"/>
    <n v="147"/>
    <n v="17"/>
    <n v="0"/>
    <n v="260"/>
    <s v="ojelese01"/>
    <n v="1752950"/>
    <n v="1.7619047619047619"/>
  </r>
  <r>
    <x v="1"/>
    <n v="0.54400000000000004"/>
    <n v="146"/>
    <n v="53"/>
    <n v="18"/>
    <n v="293"/>
    <s v="bembrde01"/>
    <n v="1737145"/>
    <n v="1.5070422535211268"/>
  </r>
  <r>
    <x v="1"/>
    <n v="0.51500000000000001"/>
    <n v="124"/>
    <n v="22"/>
    <n v="10"/>
    <n v="166"/>
    <s v="antetth01"/>
    <n v="1701593"/>
    <n v="1.069767441860465"/>
  </r>
  <r>
    <x v="1"/>
    <n v="0.45100000000000001"/>
    <n v="66"/>
    <n v="11"/>
    <n v="9"/>
    <n v="78"/>
    <s v="bongais01"/>
    <n v="1663861"/>
    <n v="1.0454545454545454"/>
  </r>
  <r>
    <x v="1"/>
    <n v="0.61399999999999999"/>
    <n v="250"/>
    <n v="43"/>
    <n v="20"/>
    <n v="942"/>
    <s v="robindu01"/>
    <n v="1663861"/>
    <n v="1.5679012345679013"/>
  </r>
  <r>
    <x v="1"/>
    <n v="0.50900000000000001"/>
    <n v="77"/>
    <n v="2"/>
    <n v="14"/>
    <n v="134"/>
    <s v="sampsja02"/>
    <n v="1620564"/>
    <n v="0.26666666666666666"/>
  </r>
  <r>
    <x v="1"/>
    <n v="0.47299999999999998"/>
    <n v="214"/>
    <n v="50"/>
    <n v="11"/>
    <n v="317"/>
    <s v="hillso01"/>
    <n v="1620564"/>
    <n v="1.7857142857142858"/>
  </r>
  <r>
    <x v="1"/>
    <n v="0.59"/>
    <n v="263"/>
    <n v="36"/>
    <n v="27"/>
    <n v="750"/>
    <s v="greenje02"/>
    <n v="1620564"/>
    <n v="2"/>
  </r>
  <r>
    <x v="1"/>
    <n v="0.438"/>
    <n v="68"/>
    <n v="10"/>
    <n v="11"/>
    <n v="92"/>
    <s v="okpalkz01"/>
    <n v="1517981"/>
    <n v="1.2666666666666666"/>
  </r>
  <r>
    <x v="1"/>
    <n v="0.55600000000000005"/>
    <n v="215"/>
    <n v="35"/>
    <n v="21"/>
    <n v="376"/>
    <s v="wadede01"/>
    <n v="1517981"/>
    <n v="2.4666666666666668"/>
  </r>
  <r>
    <x v="1"/>
    <n v="0.436"/>
    <n v="141"/>
    <n v="37"/>
    <n v="12"/>
    <n v="264"/>
    <s v="martica02"/>
    <n v="1517981"/>
    <n v="2.0303030303030303"/>
  </r>
  <r>
    <x v="1"/>
    <n v="0.48399999999999999"/>
    <n v="161"/>
    <n v="37"/>
    <n v="12"/>
    <n v="207"/>
    <s v="martico01"/>
    <n v="1517981"/>
    <n v="2.15"/>
  </r>
  <r>
    <x v="1"/>
    <n v="0.53"/>
    <n v="169"/>
    <n v="28"/>
    <n v="19"/>
    <n v="346"/>
    <s v="mcdanja01"/>
    <n v="1517981"/>
    <n v="1.1777777777777778"/>
  </r>
  <r>
    <x v="1"/>
    <n v="0.64600000000000002"/>
    <n v="45"/>
    <n v="6"/>
    <n v="3"/>
    <n v="111"/>
    <s v="watsopa01"/>
    <n v="1445697"/>
    <n v="1.8888888888888888"/>
  </r>
  <r>
    <x v="1"/>
    <n v="0.53600000000000003"/>
    <n v="78"/>
    <n v="10"/>
    <n v="10"/>
    <n v="157"/>
    <s v="martike03"/>
    <n v="1445697"/>
    <n v="1.0625"/>
  </r>
  <r>
    <x v="1"/>
    <n v="0.44400000000000001"/>
    <n v="11"/>
    <n v="0"/>
    <n v="0"/>
    <n v="15"/>
    <s v="richani01"/>
    <n v="1000000"/>
    <n v="0.66666666666666663"/>
  </r>
  <r>
    <x v="1"/>
    <n v="0.55800000000000005"/>
    <n v="51"/>
    <n v="10"/>
    <n v="4"/>
    <n v="80"/>
    <s v="gillan01"/>
    <n v="898310"/>
    <n v="1.375"/>
  </r>
  <r>
    <x v="1"/>
    <n v="0.58799999999999997"/>
    <n v="41"/>
    <n v="11"/>
    <n v="2"/>
    <n v="236"/>
    <s v="strusma01"/>
    <n v="898310"/>
    <n v="3"/>
  </r>
  <r>
    <x v="1"/>
    <n v="0.56299999999999994"/>
    <n v="60"/>
    <n v="16"/>
    <n v="7"/>
    <n v="171"/>
    <s v="nworajo01"/>
    <n v="898310"/>
    <n v="0.29166666666666669"/>
  </r>
  <r>
    <x v="1"/>
    <n v="0.59299999999999997"/>
    <n v="115"/>
    <n v="19"/>
    <n v="20"/>
    <n v="229"/>
    <s v="brissos01"/>
    <n v="757453"/>
    <n v="1.8"/>
  </r>
  <r>
    <x v="1"/>
    <n v="0.47099999999999997"/>
    <n v="129"/>
    <n v="33"/>
    <n v="6"/>
    <n v="370"/>
    <s v="luwawti01"/>
    <n v="654469"/>
    <n v="1.6046511627906976"/>
  </r>
  <r>
    <x v="1"/>
    <n v="0.47099999999999997"/>
    <n v="96"/>
    <n v="17"/>
    <n v="13"/>
    <n v="165"/>
    <s v="stevela01"/>
    <n v="652366"/>
    <n v="1.0869565217391304"/>
  </r>
  <r>
    <x v="1"/>
    <n v="0.53800000000000003"/>
    <n v="61"/>
    <n v="10"/>
    <n v="13"/>
    <n v="88"/>
    <s v="reedpa01"/>
    <n v="609128"/>
    <n v="1"/>
  </r>
  <r>
    <x v="1"/>
    <n v="0.40899999999999997"/>
    <n v="6"/>
    <n v="2"/>
    <n v="3"/>
    <n v="14"/>
    <s v="toupaax01"/>
    <n v="449155"/>
    <n v="0"/>
  </r>
  <r>
    <x v="1"/>
    <n v="0.436"/>
    <n v="73"/>
    <n v="6"/>
    <n v="6"/>
    <n v="78"/>
    <s v="perryre01"/>
    <n v="449155"/>
    <n v="0.93333333333333335"/>
  </r>
  <r>
    <x v="1"/>
    <n v="0.4"/>
    <n v="72"/>
    <n v="9"/>
    <n v="10"/>
    <n v="124"/>
    <s v="knighna01"/>
    <n v="449155"/>
    <n v="0.53333333333333333"/>
  </r>
  <r>
    <x v="1"/>
    <n v="0.59599999999999997"/>
    <n v="90"/>
    <n v="5"/>
    <n v="5"/>
    <n v="94"/>
    <s v="johnsal02"/>
    <n v="399591"/>
    <n v="1.5555555555555556"/>
  </r>
  <r>
    <x v="1"/>
    <n v="0.53900000000000003"/>
    <n v="159"/>
    <n v="26"/>
    <n v="19"/>
    <n v="218"/>
    <s v="watanyu01"/>
    <n v="321893"/>
    <n v="2.1052631578947367"/>
  </r>
  <r>
    <x v="1"/>
    <n v="0.35299999999999998"/>
    <n v="10"/>
    <n v="3"/>
    <n v="2"/>
    <n v="17"/>
    <s v="tollian01"/>
    <n v="263501"/>
    <n v="0.66666666666666663"/>
  </r>
  <r>
    <x v="1"/>
    <n v="0.41299999999999998"/>
    <n v="34"/>
    <n v="7"/>
    <n v="6"/>
    <n v="44"/>
    <s v="diakima01"/>
    <n v="160173"/>
    <n v="2.6666666666666665"/>
  </r>
  <r>
    <x v="1"/>
    <n v="0.52400000000000002"/>
    <n v="97"/>
    <n v="13"/>
    <n v="20"/>
    <n v="111"/>
    <s v="gillefr01"/>
    <n v="116903"/>
    <n v="0.75"/>
  </r>
  <r>
    <x v="2"/>
    <n v="0.60499999999999998"/>
    <n v="345"/>
    <n v="77"/>
    <n v="8"/>
    <n v="2015"/>
    <s v="curryst01"/>
    <n v="43006362"/>
    <n v="1.70422535211268"/>
  </r>
  <r>
    <x v="2"/>
    <n v="0.55700000000000005"/>
    <n v="312"/>
    <n v="99"/>
    <n v="19"/>
    <n v="1149"/>
    <s v="paulch01"/>
    <n v="41358814"/>
    <n v="3.9871794871794872"/>
  </r>
  <r>
    <x v="2"/>
    <n v="0.45800000000000002"/>
    <n v="129"/>
    <n v="42"/>
    <n v="31"/>
    <n v="823"/>
    <s v="walljo01"/>
    <n v="41254920"/>
    <n v="1.9503546099290781"/>
  </r>
  <r>
    <x v="2"/>
    <n v="0.57599999999999996"/>
    <n v="346"/>
    <n v="48"/>
    <n v="25"/>
    <n v="1126"/>
    <s v="jamesle01"/>
    <n v="39219565"/>
    <n v="2.0833333333333335"/>
  </r>
  <r>
    <x v="2"/>
    <n v="0.55200000000000005"/>
    <n v="177"/>
    <n v="70"/>
    <n v="9"/>
    <n v="827"/>
    <s v="conlemi01"/>
    <n v="34502130"/>
    <n v="3.0808080808080809"/>
  </r>
  <r>
    <x v="2"/>
    <n v="0.55400000000000005"/>
    <n v="283"/>
    <n v="62"/>
    <n v="17"/>
    <n v="1928"/>
    <s v="lillada01"/>
    <n v="31626953"/>
    <n v="2.4876847290640396"/>
  </r>
  <r>
    <x v="2"/>
    <n v="0.53300000000000003"/>
    <n v="281"/>
    <n v="53"/>
    <n v="16"/>
    <n v="1712"/>
    <s v="bookede01"/>
    <n v="29467800"/>
    <n v="1.3961352657004831"/>
  </r>
  <r>
    <x v="2"/>
    <n v="0.55400000000000005"/>
    <n v="185"/>
    <n v="44"/>
    <n v="21"/>
    <n v="1087"/>
    <s v="mccolcj01"/>
    <n v="29354152"/>
    <n v="3.4307692307692306"/>
  </r>
  <r>
    <x v="2"/>
    <n v="0.52300000000000002"/>
    <n v="111"/>
    <n v="45"/>
    <n v="18"/>
    <n v="796"/>
    <s v="russeda01"/>
    <n v="28649250"/>
    <n v="2.1785714285714284"/>
  </r>
  <r>
    <x v="2"/>
    <n v="0.55900000000000005"/>
    <n v="194"/>
    <n v="64"/>
    <n v="13"/>
    <n v="1018"/>
    <s v="murraja01"/>
    <n v="27285000"/>
    <n v="2.1388888888888888"/>
  </r>
  <r>
    <x v="2"/>
    <n v="0.54800000000000004"/>
    <n v="334"/>
    <n v="63"/>
    <n v="30"/>
    <n v="1176"/>
    <s v="hieldbu01"/>
    <n v="24701834"/>
    <n v="1.976923076923077"/>
  </r>
  <r>
    <x v="2"/>
    <n v="0.56000000000000005"/>
    <n v="229"/>
    <n v="31"/>
    <n v="11"/>
    <n v="1163"/>
    <s v="hardati02"/>
    <n v="18975000"/>
    <n v="1.96875"/>
  </r>
  <r>
    <x v="2"/>
    <n v="0.45400000000000001"/>
    <n v="223"/>
    <n v="98"/>
    <n v="4"/>
    <n v="582"/>
    <s v="rubiori01"/>
    <n v="17000000"/>
    <n v="3.900900900900901"/>
  </r>
  <r>
    <x v="2"/>
    <n v="0.503"/>
    <n v="244"/>
    <n v="55"/>
    <n v="24"/>
    <n v="869"/>
    <s v="bledser01"/>
    <n v="16875000"/>
    <n v="2.3508771929824563"/>
  </r>
  <r>
    <x v="2"/>
    <n v="0.52700000000000002"/>
    <n v="58"/>
    <n v="14"/>
    <n v="13"/>
    <n v="481"/>
    <s v="gordoer01"/>
    <n v="16869276"/>
    <n v="1.392156862745098"/>
  </r>
  <r>
    <x v="2"/>
    <n v="0.48399999999999999"/>
    <n v="211"/>
    <n v="70"/>
    <n v="13"/>
    <n v="941"/>
    <s v="schrode01"/>
    <n v="16000000"/>
    <n v="2.1533742331288344"/>
  </r>
  <r>
    <x v="2"/>
    <n v="0.48499999999999999"/>
    <n v="473"/>
    <n v="101"/>
    <n v="7"/>
    <n v="1051"/>
    <s v="murrade01"/>
    <n v="14286000"/>
    <n v="3.1025641025641026"/>
  </r>
  <r>
    <x v="2"/>
    <n v="0.54400000000000004"/>
    <n v="116"/>
    <n v="42"/>
    <n v="3"/>
    <n v="736"/>
    <s v="millspa02"/>
    <n v="13535714"/>
    <n v="2.4545454545454546"/>
  </r>
  <r>
    <x v="2"/>
    <n v="0.54700000000000004"/>
    <n v="162"/>
    <n v="30"/>
    <n v="7"/>
    <n v="724"/>
    <s v="beaslma01"/>
    <n v="13425895"/>
    <n v="1.4666666666666666"/>
  </r>
  <r>
    <x v="2"/>
    <n v="0.55000000000000004"/>
    <n v="119"/>
    <n v="29"/>
    <n v="28"/>
    <n v="278"/>
    <s v="beverpa01"/>
    <n v="13333333"/>
    <n v="2.2352941176470589"/>
  </r>
  <r>
    <x v="2"/>
    <n v="0.54900000000000004"/>
    <n v="179"/>
    <n v="62"/>
    <n v="26"/>
    <n v="653"/>
    <s v="caldwke01"/>
    <n v="12073020"/>
    <n v="1.9242424242424243"/>
  </r>
  <r>
    <x v="2"/>
    <n v="0.52200000000000002"/>
    <n v="274"/>
    <n v="61"/>
    <n v="10"/>
    <n v="1251"/>
    <s v="clarkjo01"/>
    <n v="11500000"/>
    <n v="1.4608695652173913"/>
  </r>
  <r>
    <x v="2"/>
    <n v="0.53700000000000003"/>
    <n v="263"/>
    <n v="82"/>
    <n v="31"/>
    <n v="802"/>
    <s v="balllo01"/>
    <n v="11003782"/>
    <n v="2.5691056910569108"/>
  </r>
  <r>
    <x v="2"/>
    <n v="0.498"/>
    <n v="195"/>
    <n v="61"/>
    <n v="24"/>
    <n v="715"/>
    <s v="richajo01"/>
    <n v="10865952"/>
    <n v="1.9367088607594938"/>
  </r>
  <r>
    <x v="2"/>
    <n v="0.48799999999999999"/>
    <n v="336"/>
    <n v="82"/>
    <n v="36"/>
    <n v="1392"/>
    <s v="edwaran01"/>
    <n v="9757440"/>
    <n v="1.3187500000000001"/>
  </r>
  <r>
    <x v="2"/>
    <n v="0.54800000000000004"/>
    <n v="161"/>
    <n v="60"/>
    <n v="31"/>
    <n v="472"/>
    <s v="meltode01"/>
    <n v="9571712"/>
    <n v="2"/>
  </r>
  <r>
    <x v="2"/>
    <n v="0.48699999999999999"/>
    <n v="252"/>
    <n v="57"/>
    <n v="13"/>
    <n v="1204"/>
    <s v="moranja01"/>
    <n v="9166800"/>
    <n v="2.2906403940886699"/>
  </r>
  <r>
    <x v="2"/>
    <n v="0.48499999999999999"/>
    <n v="140"/>
    <n v="64"/>
    <n v="6"/>
    <n v="442"/>
    <s v="jonesty01"/>
    <n v="8817143"/>
    <n v="5.395833333333333"/>
  </r>
  <r>
    <x v="2"/>
    <n v="0.52300000000000002"/>
    <n v="203"/>
    <n v="87"/>
    <n v="27"/>
    <n v="1461"/>
    <s v="foxde01"/>
    <n v="8099627"/>
    <n v="2.396551724137931"/>
  </r>
  <r>
    <x v="2"/>
    <n v="0.55000000000000004"/>
    <n v="527"/>
    <n v="64"/>
    <n v="36"/>
    <n v="1830"/>
    <s v="doncilu01"/>
    <n v="8049360"/>
    <n v="2.0177935943060499"/>
  </r>
  <r>
    <x v="2"/>
    <n v="0.44900000000000001"/>
    <n v="104"/>
    <n v="17"/>
    <n v="9"/>
    <n v="180"/>
    <s v="culveja01"/>
    <n v="6104280"/>
    <n v="0.8571428571428571"/>
  </r>
  <r>
    <x v="2"/>
    <n v="0.59699999999999998"/>
    <n v="161"/>
    <n v="23"/>
    <n v="9"/>
    <n v="520"/>
    <s v="kennalu01"/>
    <n v="5273826"/>
    <n v="2.1666666666666665"/>
  </r>
  <r>
    <x v="2"/>
    <n v="0.52"/>
    <n v="235"/>
    <n v="52"/>
    <n v="15"/>
    <n v="1401"/>
    <s v="mitchdo01"/>
    <n v="5195501"/>
    <n v="1.8843537414965987"/>
  </r>
  <r>
    <x v="2"/>
    <n v="0.57099999999999995"/>
    <n v="166"/>
    <n v="27"/>
    <n v="23"/>
    <n v="830"/>
    <s v="gilgesh01"/>
    <n v="4141320"/>
    <n v="1.9528301886792452"/>
  </r>
  <r>
    <x v="2"/>
    <n v="0.54700000000000004"/>
    <n v="92"/>
    <n v="29"/>
    <n v="9"/>
    <n v="248"/>
    <s v="carteje01"/>
    <n v="3925000"/>
    <n v="4.4375"/>
  </r>
  <r>
    <x v="2"/>
    <n v="0.56899999999999995"/>
    <n v="173"/>
    <n v="77"/>
    <n v="28"/>
    <n v="753"/>
    <s v="halibty01"/>
    <n v="3831840"/>
    <n v="3.3586956521739131"/>
  </r>
  <r>
    <x v="2"/>
    <n v="0.44500000000000001"/>
    <n v="71"/>
    <n v="38"/>
    <n v="10"/>
    <n v="343"/>
    <s v="lewiski01"/>
    <n v="3640200"/>
    <n v="3.6470588235294117"/>
  </r>
  <r>
    <x v="2"/>
    <n v="0.48399999999999999"/>
    <n v="93"/>
    <n v="38"/>
    <n v="17"/>
    <n v="279"/>
    <s v="matthwe02"/>
    <n v="3623000"/>
    <n v="2.0769230769230771"/>
  </r>
  <r>
    <x v="2"/>
    <n v="0.503"/>
    <n v="107"/>
    <n v="26"/>
    <n v="36"/>
    <n v="553"/>
    <s v="whitede01"/>
    <n v="3516284"/>
    <n v="2.8222222222222224"/>
  </r>
  <r>
    <x v="2"/>
    <n v="0.502"/>
    <n v="144"/>
    <n v="47"/>
    <n v="22"/>
    <n v="508"/>
    <s v="alexani01"/>
    <n v="3113160"/>
    <n v="1.4782608695652173"/>
  </r>
  <r>
    <x v="2"/>
    <n v="0.502"/>
    <n v="134"/>
    <n v="79"/>
    <n v="14"/>
    <n v="396"/>
    <s v="campafa01"/>
    <n v="3100000"/>
    <n v="3.1780821917808217"/>
  </r>
  <r>
    <x v="2"/>
    <n v="0.51"/>
    <n v="54"/>
    <n v="36"/>
    <n v="7"/>
    <n v="411"/>
    <s v="burketr01"/>
    <n v="3000000"/>
    <n v="2.4545454545454546"/>
  </r>
  <r>
    <x v="2"/>
    <n v="0.502"/>
    <n v="155"/>
    <n v="29"/>
    <n v="15"/>
    <n v="669"/>
    <s v="walkelo01"/>
    <n v="2892000"/>
    <n v="1.5538461538461539"/>
  </r>
  <r>
    <x v="2"/>
    <n v="0.47299999999999998"/>
    <n v="78"/>
    <n v="16"/>
    <n v="3"/>
    <n v="101"/>
    <s v="greenjo02"/>
    <n v="2816760"/>
    <n v="1.6470588235294117"/>
  </r>
  <r>
    <x v="2"/>
    <n v="0.52600000000000002"/>
    <n v="170"/>
    <n v="64"/>
    <n v="15"/>
    <n v="370"/>
    <s v="carusal01"/>
    <n v="2750000"/>
    <n v="2.1052631578947367"/>
  </r>
  <r>
    <x v="2"/>
    <n v="0.45900000000000002"/>
    <n v="156"/>
    <n v="54"/>
    <n v="28"/>
    <n v="316"/>
    <s v="okogijo01"/>
    <n v="2651040"/>
    <n v="1.4651162790697674"/>
  </r>
  <r>
    <x v="2"/>
    <n v="0.54700000000000004"/>
    <n v="160"/>
    <n v="46"/>
    <n v="8"/>
    <n v="532"/>
    <s v="allengr01"/>
    <n v="2545320"/>
    <n v="2.25"/>
  </r>
  <r>
    <x v="2"/>
    <n v="0.56999999999999995"/>
    <n v="91"/>
    <n v="20"/>
    <n v="6"/>
    <n v="353"/>
    <s v="jeromty01"/>
    <n v="2303040"/>
    <n v="2.5531914893617023"/>
  </r>
  <r>
    <x v="2"/>
    <n v="0.56899999999999995"/>
    <n v="140"/>
    <n v="18"/>
    <n v="8"/>
    <n v="502"/>
    <s v="simonan01"/>
    <n v="2252040"/>
    <n v="2.0697674418604652"/>
  </r>
  <r>
    <x v="2"/>
    <n v="0.57599999999999996"/>
    <n v="128"/>
    <n v="30"/>
    <n v="9"/>
    <n v="184"/>
    <s v="konchjo01"/>
    <n v="2100000"/>
    <n v="2.6111111111111112"/>
  </r>
  <r>
    <x v="2"/>
    <n v="0.53500000000000003"/>
    <n v="92"/>
    <n v="26"/>
    <n v="9"/>
    <n v="612"/>
    <s v="poolejo01"/>
    <n v="2063280"/>
    <n v="1.9411764705882353"/>
  </r>
  <r>
    <x v="2"/>
    <n v="0.45400000000000001"/>
    <n v="211"/>
    <n v="56"/>
    <n v="11"/>
    <n v="658"/>
    <s v="maledth01"/>
    <n v="2000000"/>
    <n v="1.6099290780141844"/>
  </r>
  <r>
    <x v="2"/>
    <n v="0.57599999999999996"/>
    <n v="144"/>
    <n v="36"/>
    <n v="16"/>
    <n v="505"/>
    <s v="payneca01"/>
    <n v="1977011"/>
    <n v="3.6166666666666667"/>
  </r>
  <r>
    <x v="2"/>
    <n v="0.58599999999999997"/>
    <n v="210"/>
    <n v="41"/>
    <n v="16"/>
    <n v="625"/>
    <s v="banede01"/>
    <n v="1936440"/>
    <n v="2"/>
  </r>
  <r>
    <x v="2"/>
    <n v="0.60799999999999998"/>
    <n v="180"/>
    <n v="38"/>
    <n v="8"/>
    <n v="373"/>
    <s v="leeda03"/>
    <n v="1762796"/>
    <n v="2.4333333333333331"/>
  </r>
  <r>
    <x v="2"/>
    <n v="0.48299999999999998"/>
    <n v="182"/>
    <n v="31"/>
    <n v="22"/>
    <n v="385"/>
    <s v="doziepj01"/>
    <n v="1762796"/>
    <n v="2"/>
  </r>
  <r>
    <x v="2"/>
    <n v="0.49299999999999999"/>
    <n v="99"/>
    <n v="19"/>
    <n v="8"/>
    <n v="431"/>
    <s v="porteke02"/>
    <n v="1717981"/>
    <n v="1.8021978021978022"/>
  </r>
  <r>
    <x v="2"/>
    <n v="0.58799999999999997"/>
    <n v="231"/>
    <n v="35"/>
    <n v="1"/>
    <n v="857"/>
    <s v="brunsja01"/>
    <n v="1663861"/>
    <n v="2.9874999999999998"/>
  </r>
  <r>
    <x v="2"/>
    <n v="0.38900000000000001"/>
    <n v="4"/>
    <n v="1"/>
    <n v="0"/>
    <n v="23"/>
    <s v="thomais02"/>
    <n v="1620564"/>
    <n v="0.83333333333333337"/>
  </r>
  <r>
    <x v="2"/>
    <n v="0.57099999999999995"/>
    <n v="42"/>
    <n v="8"/>
    <n v="0"/>
    <n v="190"/>
    <s v="gallola01"/>
    <n v="1620564"/>
    <n v="2"/>
  </r>
  <r>
    <x v="2"/>
    <n v="0.5"/>
    <n v="45"/>
    <n v="15"/>
    <n v="5"/>
    <n v="133"/>
    <s v="mooreet01"/>
    <n v="1620564"/>
    <n v="1.7391304347826086"/>
  </r>
  <r>
    <x v="2"/>
    <n v="0.58399999999999996"/>
    <n v="224"/>
    <n v="38"/>
    <n v="12"/>
    <n v="416"/>
    <s v="brownst02"/>
    <n v="1620564"/>
    <n v="1.7560975609756098"/>
  </r>
  <r>
    <x v="2"/>
    <n v="0.55400000000000005"/>
    <n v="192"/>
    <n v="41"/>
    <n v="7"/>
    <n v="715"/>
    <s v="jacksre01"/>
    <n v="1620564"/>
    <n v="2.7702702702702702"/>
  </r>
  <r>
    <x v="2"/>
    <n v="0.54700000000000004"/>
    <n v="96"/>
    <n v="34"/>
    <n v="13"/>
    <n v="481"/>
    <s v="morrimo01"/>
    <n v="1588231"/>
    <n v="4.4117647058823533"/>
  </r>
  <r>
    <x v="2"/>
    <n v="0.505"/>
    <n v="84"/>
    <n v="11"/>
    <n v="8"/>
    <n v="105"/>
    <s v="onimi01"/>
    <n v="1517981"/>
    <n v="1.75"/>
  </r>
  <r>
    <x v="2"/>
    <n v="0.60899999999999999"/>
    <n v="60"/>
    <n v="12"/>
    <n v="12"/>
    <n v="337"/>
    <s v="muldemy01"/>
    <n v="1517981"/>
    <n v="1.625"/>
  </r>
  <r>
    <x v="2"/>
    <n v="0.499"/>
    <n v="95"/>
    <n v="22"/>
    <n v="12"/>
    <n v="379"/>
    <s v="nowelja01"/>
    <n v="1517981"/>
    <n v="2.2142857142857144"/>
  </r>
  <r>
    <x v="2"/>
    <n v="0.56299999999999994"/>
    <n v="242"/>
    <n v="29"/>
    <n v="13"/>
    <n v="472"/>
    <s v="mannte01"/>
    <n v="1517981"/>
    <n v="2.6"/>
  </r>
  <r>
    <x v="2"/>
    <n v="0.47499999999999998"/>
    <n v="189"/>
    <n v="45"/>
    <n v="19"/>
    <n v="729"/>
    <s v="dortlu01"/>
    <n v="1517981"/>
    <n v="1.1139240506329113"/>
  </r>
  <r>
    <x v="2"/>
    <n v="0.496"/>
    <n v="169"/>
    <n v="63"/>
    <n v="21"/>
    <n v="585"/>
    <s v="hortota01"/>
    <n v="1517981"/>
    <n v="1.7238095238095239"/>
  </r>
  <r>
    <x v="2"/>
    <n v="0.313"/>
    <n v="6"/>
    <n v="5"/>
    <n v="0"/>
    <n v="11"/>
    <s v="terryty01"/>
    <n v="1289846"/>
    <n v="3"/>
  </r>
  <r>
    <x v="2"/>
    <n v="0.46100000000000002"/>
    <n v="10"/>
    <n v="4"/>
    <n v="1"/>
    <n v="40"/>
    <s v="ramseja01"/>
    <n v="1000000"/>
    <n v="2"/>
  </r>
  <r>
    <x v="2"/>
    <n v="0.49399999999999999"/>
    <n v="21"/>
    <n v="8"/>
    <n v="0"/>
    <n v="94"/>
    <s v="jonestr01"/>
    <n v="898310"/>
    <n v="3"/>
  </r>
  <r>
    <x v="2"/>
    <n v="0.33300000000000002"/>
    <n v="10"/>
    <n v="0"/>
    <n v="1"/>
    <n v="9"/>
    <s v="alexaty01"/>
    <n v="449155"/>
    <n v="2"/>
  </r>
  <r>
    <x v="2"/>
    <n v="0.40500000000000003"/>
    <n v="9"/>
    <n v="7"/>
    <n v="2"/>
    <n v="41"/>
    <s v="hintona01"/>
    <n v="449155"/>
    <n v="1.6"/>
  </r>
  <r>
    <x v="2"/>
    <n v="0.41699999999999998"/>
    <n v="14"/>
    <n v="4"/>
    <n v="0"/>
    <n v="35"/>
    <s v="scrubja01"/>
    <n v="449155"/>
    <n v="0.14285714285714285"/>
  </r>
  <r>
    <x v="2"/>
    <n v="0.47099999999999997"/>
    <n v="11"/>
    <n v="8"/>
    <n v="2"/>
    <n v="46"/>
    <s v="weathqu01"/>
    <n v="449155"/>
    <n v="0.8"/>
  </r>
  <r>
    <x v="2"/>
    <n v="0.40300000000000002"/>
    <n v="35"/>
    <n v="6"/>
    <n v="0"/>
    <n v="87"/>
    <s v="guyky01"/>
    <n v="449155"/>
    <n v="2.9090909090909092"/>
  </r>
  <r>
    <x v="2"/>
    <n v="0.54900000000000004"/>
    <n v="44"/>
    <n v="10"/>
    <n v="0"/>
    <n v="140"/>
    <s v="coffeam01"/>
    <n v="449155"/>
    <n v="1.4666666666666666"/>
  </r>
  <r>
    <x v="2"/>
    <n v="0.46200000000000002"/>
    <n v="21"/>
    <n v="4"/>
    <n v="1"/>
    <n v="105"/>
    <s v="howarma02"/>
    <n v="449155"/>
    <n v="1"/>
  </r>
  <r>
    <x v="2"/>
    <n v="0.48599999999999999"/>
    <n v="44"/>
    <n v="9"/>
    <n v="4"/>
    <n v="88"/>
    <s v="forretr01"/>
    <n v="449155"/>
    <n v="2.1428571428571428"/>
  </r>
  <r>
    <x v="2"/>
    <n v="0.56299999999999994"/>
    <n v="68"/>
    <n v="12"/>
    <n v="5"/>
    <n v="223"/>
    <s v="brookar01"/>
    <n v="449155"/>
    <n v="1.3636363636363635"/>
  </r>
  <r>
    <x v="2"/>
    <n v="0.439"/>
    <n v="46"/>
    <n v="16"/>
    <n v="1"/>
    <n v="123"/>
    <s v="mannini01"/>
    <n v="449155"/>
    <n v="2.2580645161290325"/>
  </r>
  <r>
    <x v="2"/>
    <n v="0.48099999999999998"/>
    <n v="108"/>
    <n v="51"/>
    <n v="6"/>
    <n v="256"/>
    <s v="mclaujo01"/>
    <n v="449155"/>
    <n v="3.784313725490196"/>
  </r>
  <r>
    <x v="2"/>
    <n v="0.66700000000000004"/>
    <n v="235"/>
    <n v="41"/>
    <n v="26"/>
    <n v="301"/>
    <s v="toscaju01"/>
    <n v="358295"/>
    <n v="2.459016393442623"/>
  </r>
  <r>
    <x v="2"/>
    <n v="0.15"/>
    <n v="8"/>
    <n v="2"/>
    <n v="1"/>
    <n v="8"/>
    <s v="fraziti01"/>
    <n v="255294"/>
    <n v="4"/>
  </r>
  <r>
    <x v="2"/>
    <n v="0.55300000000000005"/>
    <n v="18"/>
    <n v="9"/>
    <n v="6"/>
    <n v="82"/>
    <s v="thomakh01"/>
    <n v="250000"/>
    <n v="4.166666666666667"/>
  </r>
  <r>
    <x v="2"/>
    <n v="0.36"/>
    <n v="17"/>
    <n v="4"/>
    <n v="2"/>
    <n v="40"/>
    <s v="brownch02"/>
    <n v="19804"/>
    <n v="1.5"/>
  </r>
  <r>
    <x v="2"/>
    <n v="0.84599999999999997"/>
    <n v="11"/>
    <n v="6"/>
    <n v="1"/>
    <n v="25"/>
    <s v="paytoga02"/>
    <n v="11898"/>
    <n v="1"/>
  </r>
  <r>
    <x v="2"/>
    <n v="0.54800000000000004"/>
    <n v="348"/>
    <n v="53"/>
    <n v="33"/>
    <n v="1083"/>
    <s v="hardeja01"/>
    <n v="41254920"/>
    <n v="2.6836158192090394"/>
  </r>
  <r>
    <x v="2"/>
    <n v="0.47599999999999998"/>
    <n v="160"/>
    <n v="46"/>
    <n v="14"/>
    <n v="652"/>
    <s v="oladivi01"/>
    <n v="21000000"/>
    <n v="1.8192771084337349"/>
  </r>
  <r>
    <x v="2"/>
    <n v="0.47"/>
    <n v="79"/>
    <n v="28"/>
    <n v="11"/>
    <n v="388"/>
    <s v="harriga01"/>
    <n v="19610714"/>
    <n v="2.1081081081081079"/>
  </r>
  <r>
    <x v="2"/>
    <n v="0.49299999999999999"/>
    <n v="214"/>
    <n v="66"/>
    <n v="30"/>
    <n v="948"/>
    <s v="leverca01"/>
    <n v="16203704"/>
    <n v="2.4019607843137254"/>
  </r>
  <r>
    <x v="2"/>
    <n v="0.52100000000000002"/>
    <n v="64"/>
    <n v="11"/>
    <n v="3"/>
    <n v="327"/>
    <s v="redicjj01"/>
    <n v="13013700"/>
    <n v="1.4166666666666667"/>
  </r>
  <r>
    <x v="2"/>
    <n v="0.52200000000000002"/>
    <n v="159"/>
    <n v="61"/>
    <n v="18"/>
    <n v="517"/>
    <s v="josepco01"/>
    <n v="12600000"/>
    <n v="2.6962025316455698"/>
  </r>
  <r>
    <x v="2"/>
    <n v="0.56999999999999995"/>
    <n v="215"/>
    <n v="82"/>
    <n v="18"/>
    <n v="1283"/>
    <s v="powelno01"/>
    <n v="10865952"/>
    <n v="1.0840336134453781"/>
  </r>
  <r>
    <x v="2"/>
    <n v="0.56100000000000005"/>
    <n v="61"/>
    <n v="23"/>
    <n v="5"/>
    <n v="261"/>
    <s v="hillge01"/>
    <n v="9590602"/>
    <n v="2.3548387096774195"/>
  </r>
  <r>
    <x v="2"/>
    <n v="0.52500000000000002"/>
    <n v="269"/>
    <n v="101"/>
    <n v="30"/>
    <n v="645"/>
    <s v="wrighde01"/>
    <n v="9000000"/>
    <n v="3.3493975903614457"/>
  </r>
  <r>
    <x v="2"/>
    <n v="0.46400000000000002"/>
    <n v="138"/>
    <n v="47"/>
    <n v="6"/>
    <n v="749"/>
    <s v="willilo02"/>
    <n v="8000000"/>
    <n v="2.0833333333333335"/>
  </r>
  <r>
    <x v="2"/>
    <n v="0.51100000000000001"/>
    <n v="130"/>
    <n v="49"/>
    <n v="19"/>
    <n v="734"/>
    <s v="rosede01"/>
    <n v="7682927"/>
    <n v="2.6794871794871793"/>
  </r>
  <r>
    <x v="2"/>
    <n v="0.52600000000000002"/>
    <n v="110"/>
    <n v="37"/>
    <n v="4"/>
    <n v="242"/>
    <s v="rondora01"/>
    <n v="7500000"/>
    <n v="2.518987341772152"/>
  </r>
  <r>
    <x v="2"/>
    <n v="0.51500000000000001"/>
    <n v="94"/>
    <n v="28"/>
    <n v="1"/>
    <n v="438"/>
    <s v="augusdj01"/>
    <n v="6666667"/>
    <n v="2.8923076923076922"/>
  </r>
  <r>
    <x v="2"/>
    <n v="0.46600000000000003"/>
    <n v="55"/>
    <n v="23"/>
    <n v="14"/>
    <n v="154"/>
    <s v="smithde03"/>
    <n v="5686677"/>
    <n v="2.9615384615384617"/>
  </r>
  <r>
    <x v="2"/>
    <n v="0.47099999999999997"/>
    <n v="57"/>
    <n v="21"/>
    <n v="3"/>
    <n v="173"/>
    <s v="bradlav01"/>
    <n v="5635000"/>
    <n v="1.6428571428571428"/>
  </r>
  <r>
    <x v="2"/>
    <n v="0.503"/>
    <n v="100"/>
    <n v="23"/>
    <n v="9"/>
    <n v="406"/>
    <s v="mclembe01"/>
    <n v="2283034"/>
    <n v="0.9285714285714286"/>
  </r>
  <r>
    <x v="2"/>
    <n v="0.41099999999999998"/>
    <n v="105"/>
    <n v="43"/>
    <n v="11"/>
    <n v="336"/>
    <s v="wanambr01"/>
    <n v="2250000"/>
    <n v="2.4507042253521125"/>
  </r>
  <r>
    <x v="2"/>
    <n v="0.47799999999999998"/>
    <n v="179"/>
    <n v="21"/>
    <n v="10"/>
    <n v="354"/>
    <s v="hamptrj01"/>
    <n v="2193040"/>
    <n v="1.6415094339622642"/>
  </r>
  <r>
    <x v="2"/>
    <n v="0.51300000000000001"/>
    <n v="152"/>
    <n v="56"/>
    <n v="10"/>
    <n v="888"/>
    <s v="trentga02"/>
    <n v="1663861"/>
    <n v="1.8604651162790697"/>
  </r>
  <r>
    <x v="2"/>
    <n v="0.50700000000000001"/>
    <n v="17"/>
    <n v="4"/>
    <n v="1"/>
    <n v="76"/>
    <s v="cookqu01"/>
    <n v="1620564"/>
    <n v="2.5714285714285716"/>
  </r>
  <r>
    <x v="2"/>
    <n v="0.35299999999999998"/>
    <n v="48"/>
    <n v="17"/>
    <n v="5"/>
    <n v="73"/>
    <s v="harrish01"/>
    <n v="1620564"/>
    <n v="2.2727272727272729"/>
  </r>
  <r>
    <x v="2"/>
    <n v="0.5"/>
    <n v="44"/>
    <n v="4"/>
    <n v="0"/>
    <n v="139"/>
    <s v="thomama02"/>
    <n v="1517981"/>
    <n v="1.3571428571428572"/>
  </r>
  <r>
    <x v="2"/>
    <n v="0.53500000000000003"/>
    <n v="154"/>
    <n v="44"/>
    <n v="14"/>
    <n v="533"/>
    <s v="daviste02"/>
    <n v="1517981"/>
    <n v="1.3174603174603174"/>
  </r>
  <r>
    <x v="2"/>
    <n v="0.5"/>
    <n v="71"/>
    <n v="15"/>
    <n v="10"/>
    <n v="127"/>
    <s v="jeffrda01"/>
    <n v="1445697"/>
    <n v="1.5714285714285714"/>
  </r>
  <r>
    <x v="2"/>
    <n v="0.496"/>
    <n v="88"/>
    <n v="34"/>
    <n v="12"/>
    <n v="371"/>
    <s v="teaguje01"/>
    <n v="510589"/>
    <n v="2.0625"/>
  </r>
  <r>
    <x v="2"/>
    <n v="0.40200000000000002"/>
    <n v="18"/>
    <n v="13"/>
    <n v="2"/>
    <n v="41"/>
    <s v="thornsi01"/>
    <n v="449155"/>
    <n v="3"/>
  </r>
  <r>
    <x v="2"/>
    <n v="0.435"/>
    <n v="53"/>
    <n v="15"/>
    <n v="10"/>
    <n v="125"/>
    <s v="thomabr01"/>
    <n v="449155"/>
    <n v="1.3636363636363635"/>
  </r>
  <r>
    <x v="2"/>
    <n v="0.43"/>
    <n v="19"/>
    <n v="7"/>
    <n v="3"/>
    <n v="56"/>
    <s v="ferreyo01"/>
    <n v="214169"/>
    <n v="7.333333333333333"/>
  </r>
  <r>
    <x v="2"/>
    <n v="0.53700000000000003"/>
    <n v="82"/>
    <n v="30"/>
    <n v="2"/>
    <n v="285"/>
    <s v="riverau01"/>
    <n v="188696"/>
    <n v="2.25"/>
  </r>
  <r>
    <x v="2"/>
    <n v="0.47399999999999998"/>
    <n v="750"/>
    <n v="89"/>
    <n v="23"/>
    <n v="1445"/>
    <s v="westbru01"/>
    <n v="41358814"/>
    <n v="2.4455128205128207"/>
  </r>
  <r>
    <x v="2"/>
    <n v="0.51400000000000001"/>
    <n v="170"/>
    <n v="48"/>
    <n v="12"/>
    <n v="829"/>
    <s v="walkeke02"/>
    <n v="34379100"/>
    <n v="2.4090909090909092"/>
  </r>
  <r>
    <x v="2"/>
    <n v="0.57599999999999996"/>
    <n v="257"/>
    <n v="76"/>
    <n v="37"/>
    <n v="1451"/>
    <s v="irvinky01"/>
    <n v="31742000"/>
    <n v="2.4923076923076923"/>
  </r>
  <r>
    <x v="2"/>
    <n v="0.56000000000000005"/>
    <n v="417"/>
    <n v="93"/>
    <n v="35"/>
    <n v="829"/>
    <s v="simmobe01"/>
    <n v="30559200"/>
    <n v="2.3179190751445087"/>
  </r>
  <r>
    <x v="2"/>
    <n v="0.54600000000000004"/>
    <n v="247"/>
    <n v="45"/>
    <n v="14"/>
    <n v="791"/>
    <s v="lowryky01"/>
    <n v="30500000"/>
    <n v="2.6825396825396823"/>
  </r>
  <r>
    <x v="2"/>
    <n v="0.53200000000000003"/>
    <n v="283"/>
    <n v="69"/>
    <n v="22"/>
    <n v="1878"/>
    <s v="bealbr01"/>
    <n v="28751775"/>
    <n v="1.4171122994652405"/>
  </r>
  <r>
    <x v="2"/>
    <n v="0.56999999999999995"/>
    <n v="268"/>
    <n v="96"/>
    <n v="37"/>
    <n v="1046"/>
    <s v="holidjr01"/>
    <n v="26231111"/>
    <n v="2.811023622047244"/>
  </r>
  <r>
    <x v="2"/>
    <n v="0.55800000000000005"/>
    <n v="347"/>
    <n v="72"/>
    <n v="32"/>
    <n v="1430"/>
    <s v="brownja02"/>
    <n v="23735118"/>
    <n v="1.2341772151898733"/>
  </r>
  <r>
    <x v="2"/>
    <n v="0.48899999999999999"/>
    <n v="220"/>
    <n v="87"/>
    <n v="37"/>
    <n v="1019"/>
    <s v="vanvlfr01"/>
    <n v="21250000"/>
    <n v="3.4526315789473685"/>
  </r>
  <r>
    <x v="2"/>
    <n v="0.52700000000000002"/>
    <n v="294"/>
    <n v="49"/>
    <n v="15"/>
    <n v="1186"/>
    <s v="brogdma01"/>
    <n v="20700000"/>
    <n v="2.8608695652173912"/>
  </r>
  <r>
    <x v="2"/>
    <n v="0.59599999999999997"/>
    <n v="289"/>
    <n v="46"/>
    <n v="27"/>
    <n v="1591"/>
    <s v="lavinza01"/>
    <n v="19500000"/>
    <n v="1.3891625615763548"/>
  </r>
  <r>
    <x v="2"/>
    <n v="0.54800000000000004"/>
    <n v="302"/>
    <n v="87"/>
    <n v="26"/>
    <n v="1407"/>
    <s v="roziete01"/>
    <n v="18900000"/>
    <n v="2.2890625"/>
  </r>
  <r>
    <x v="2"/>
    <n v="0.60199999999999998"/>
    <n v="160"/>
    <n v="49"/>
    <n v="13"/>
    <n v="720"/>
    <s v="bogdabo01"/>
    <n v="18000000"/>
    <n v="2.7222222222222223"/>
  </r>
  <r>
    <x v="2"/>
    <n v="0.51400000000000001"/>
    <n v="169"/>
    <n v="33"/>
    <n v="8"/>
    <n v="672"/>
    <s v="dragigo01"/>
    <n v="18000000"/>
    <n v="1.8559322033898304"/>
  </r>
  <r>
    <x v="2"/>
    <n v="0.48499999999999999"/>
    <n v="158"/>
    <n v="47"/>
    <n v="21"/>
    <n v="717"/>
    <s v="rosste01"/>
    <n v="13500000"/>
    <n v="1.4594594594594594"/>
  </r>
  <r>
    <x v="2"/>
    <n v="0.48899999999999999"/>
    <n v="167"/>
    <n v="72"/>
    <n v="23"/>
    <n v="627"/>
    <s v="smartma01"/>
    <n v="13446428"/>
    <n v="2.84375"/>
  </r>
  <r>
    <x v="2"/>
    <n v="0.41299999999999998"/>
    <n v="25"/>
    <n v="8"/>
    <n v="2"/>
    <n v="103"/>
    <s v="fultzma01"/>
    <n v="12288697"/>
    <n v="2.3888888888888888"/>
  </r>
  <r>
    <x v="2"/>
    <n v="0.69599999999999995"/>
    <n v="112"/>
    <n v="13"/>
    <n v="11"/>
    <n v="249"/>
    <s v="snellto01"/>
    <n v="12178571"/>
    <n v="2.8095238095238093"/>
  </r>
  <r>
    <x v="2"/>
    <n v="0.438"/>
    <n v="13"/>
    <n v="2"/>
    <n v="1"/>
    <n v="20"/>
    <s v="dinwisp01"/>
    <n v="11454048"/>
    <n v="1.8"/>
  </r>
  <r>
    <x v="2"/>
    <n v="0.52900000000000003"/>
    <n v="131"/>
    <n v="34"/>
    <n v="23"/>
    <n v="363"/>
    <s v="lambje01"/>
    <n v="10500000"/>
    <n v="2.4090909090909092"/>
  </r>
  <r>
    <x v="2"/>
    <n v="0.57799999999999996"/>
    <n v="142"/>
    <n v="40"/>
    <n v="14"/>
    <n v="447"/>
    <s v="satorto01"/>
    <n v="10000000"/>
    <n v="2.8229166666666665"/>
  </r>
  <r>
    <x v="2"/>
    <n v="0.42299999999999999"/>
    <n v="17"/>
    <n v="4"/>
    <n v="2"/>
    <n v="23"/>
    <s v="exumda01"/>
    <n v="9600000"/>
    <n v="1.8571428571428572"/>
  </r>
  <r>
    <x v="2"/>
    <n v="0.499"/>
    <n v="414"/>
    <n v="53"/>
    <n v="20"/>
    <n v="1264"/>
    <s v="barrerj01"/>
    <n v="8231760"/>
    <n v="1.5611510791366907"/>
  </r>
  <r>
    <x v="2"/>
    <n v="0.504"/>
    <n v="302"/>
    <n v="81"/>
    <n v="18"/>
    <n v="803"/>
    <s v="ballla01"/>
    <n v="7839960"/>
    <n v="2.1586206896551725"/>
  </r>
  <r>
    <x v="2"/>
    <n v="0.58199999999999996"/>
    <n v="136"/>
    <n v="44"/>
    <n v="8"/>
    <n v="711"/>
    <s v="curryse01"/>
    <n v="7834449"/>
    <n v="2.3846153846153846"/>
  </r>
  <r>
    <x v="2"/>
    <n v="0.51700000000000002"/>
    <n v="129"/>
    <n v="66"/>
    <n v="6"/>
    <n v="941"/>
    <s v="garlada01"/>
    <n v="6720720"/>
    <n v="2.0060975609756095"/>
  </r>
  <r>
    <x v="2"/>
    <n v="0.499"/>
    <n v="245"/>
    <n v="53"/>
    <n v="12"/>
    <n v="1594"/>
    <s v="youngtr01"/>
    <n v="6571800"/>
    <n v="2.2758620689655173"/>
  </r>
  <r>
    <x v="2"/>
    <n v="0.47599999999999998"/>
    <n v="206"/>
    <n v="62"/>
    <n v="24"/>
    <n v="646"/>
    <s v="okorois01"/>
    <n v="6400920"/>
    <n v="1.4883720930232558"/>
  </r>
  <r>
    <x v="2"/>
    <n v="0.51300000000000001"/>
    <n v="31"/>
    <n v="18"/>
    <n v="4"/>
    <n v="89"/>
    <s v="ntilila01"/>
    <n v="6176578"/>
    <n v="1.7272727272727273"/>
  </r>
  <r>
    <x v="2"/>
    <n v="0.46500000000000002"/>
    <n v="150"/>
    <n v="32"/>
    <n v="13"/>
    <n v="295"/>
    <s v="smithis01"/>
    <n v="6000000"/>
    <n v="4.1951219512195124"/>
  </r>
  <r>
    <x v="2"/>
    <n v="0.52200000000000002"/>
    <n v="227"/>
    <n v="31"/>
    <n v="14"/>
    <n v="623"/>
    <s v="burksal01"/>
    <n v="6000000"/>
    <n v="2.1836734693877551"/>
  </r>
  <r>
    <x v="2"/>
    <n v="0.55100000000000005"/>
    <n v="256"/>
    <n v="74"/>
    <n v="41"/>
    <n v="756"/>
    <s v="holidju01"/>
    <n v="5720000"/>
    <n v="2.2037037037037037"/>
  </r>
  <r>
    <x v="2"/>
    <n v="0.50600000000000001"/>
    <n v="284"/>
    <n v="38"/>
    <n v="15"/>
    <n v="1041"/>
    <s v="whiteco01"/>
    <n v="5572680"/>
    <n v="2.1025641025641026"/>
  </r>
  <r>
    <x v="2"/>
    <n v="0.54"/>
    <n v="101"/>
    <n v="19"/>
    <n v="4"/>
    <n v="490"/>
    <s v="monkma01"/>
    <n v="5345687"/>
    <n v="1.5818181818181818"/>
  </r>
  <r>
    <x v="2"/>
    <n v="0.40300000000000002"/>
    <n v="69"/>
    <n v="27"/>
    <n v="10"/>
    <n v="176"/>
    <s v="hayeski01"/>
    <n v="5307120"/>
    <n v="1.6626506024096386"/>
  </r>
  <r>
    <x v="2"/>
    <n v="0.60699999999999998"/>
    <n v="22"/>
    <n v="8"/>
    <n v="1"/>
    <n v="91"/>
    <s v="mcgruro01"/>
    <n v="5192307"/>
    <n v="2.2857142857142856"/>
  </r>
  <r>
    <x v="2"/>
    <n v="0.51900000000000002"/>
    <n v="187"/>
    <n v="62"/>
    <n v="10"/>
    <n v="1460"/>
    <s v="sextoco01"/>
    <n v="4991880"/>
    <n v="1.5688622754491017"/>
  </r>
  <r>
    <x v="2"/>
    <n v="0.56499999999999995"/>
    <n v="332"/>
    <n v="49"/>
    <n v="23"/>
    <n v="468"/>
    <s v="connapa01"/>
    <n v="4938272"/>
    <n v="2.4545454545454546"/>
  </r>
  <r>
    <x v="2"/>
    <n v="8.3000000000000004E-2"/>
    <n v="6"/>
    <n v="2"/>
    <n v="2"/>
    <n v="5"/>
    <s v="dunnkr01"/>
    <n v="4767000"/>
    <n v="0.66666666666666663"/>
  </r>
  <r>
    <x v="2"/>
    <n v="0.503"/>
    <n v="160"/>
    <n v="43"/>
    <n v="30"/>
    <n v="423"/>
    <s v="templga01"/>
    <n v="4767000"/>
    <n v="2.1379310344827585"/>
  </r>
  <r>
    <x v="2"/>
    <n v="0.45500000000000002"/>
    <n v="216"/>
    <n v="47"/>
    <n v="9"/>
    <n v="639"/>
    <s v="paytoel01"/>
    <n v="4767000"/>
    <n v="1.970873786407767"/>
  </r>
  <r>
    <x v="2"/>
    <n v="0.47299999999999998"/>
    <n v="254"/>
    <n v="53"/>
    <n v="47"/>
    <n v="828"/>
    <s v="jacksjo02"/>
    <n v="4767000"/>
    <n v="1.0070422535211268"/>
  </r>
  <r>
    <x v="2"/>
    <n v="0.46899999999999997"/>
    <n v="197"/>
    <n v="30"/>
    <n v="7"/>
    <n v="406"/>
    <s v="valende01"/>
    <n v="4642800"/>
    <n v="2.5"/>
  </r>
  <r>
    <x v="2"/>
    <n v="0.14299999999999999"/>
    <n v="1"/>
    <n v="1"/>
    <n v="0"/>
    <n v="2"/>
    <s v="fergute01"/>
    <n v="3944013"/>
    <n v="0.5"/>
  </r>
  <r>
    <x v="2"/>
    <n v="0.35299999999999998"/>
    <n v="38"/>
    <n v="12"/>
    <n v="6"/>
    <n v="83"/>
    <s v="robinje01"/>
    <n v="3737520"/>
    <n v="1.3157894736842106"/>
  </r>
  <r>
    <x v="2"/>
    <n v="0.39800000000000002"/>
    <n v="35"/>
    <n v="6"/>
    <n v="5"/>
    <n v="56"/>
    <s v="langfro01"/>
    <n v="3631200"/>
    <n v="1.3"/>
  </r>
  <r>
    <x v="2"/>
    <n v="0.57399999999999995"/>
    <n v="256"/>
    <n v="128"/>
    <n v="23"/>
    <n v="596"/>
    <s v="mccontj01"/>
    <n v="3500000"/>
    <n v="3.3777777777777778"/>
  </r>
  <r>
    <x v="2"/>
    <n v="0.41699999999999998"/>
    <n v="139"/>
    <n v="25"/>
    <n v="17"/>
    <n v="274"/>
    <s v="cartemi01"/>
    <n v="3300000"/>
    <n v="1.8695652173913044"/>
  </r>
  <r>
    <x v="2"/>
    <n v="0.44900000000000001"/>
    <n v="221"/>
    <n v="30"/>
    <n v="18"/>
    <n v="605"/>
    <s v="anthoco01"/>
    <n v="3285120"/>
    <n v="1.8113207547169812"/>
  </r>
  <r>
    <x v="2"/>
    <n v="0.52800000000000002"/>
    <n v="380"/>
    <n v="72"/>
    <n v="15"/>
    <n v="688"/>
    <s v="divindo01"/>
    <n v="3044160"/>
    <n v="2.2307692307692308"/>
  </r>
  <r>
    <x v="2"/>
    <n v="0.52600000000000002"/>
    <n v="67"/>
    <n v="9"/>
    <n v="0"/>
    <n v="136"/>
    <s v="arcidry01"/>
    <n v="3000000"/>
    <n v="5.6"/>
  </r>
  <r>
    <x v="2"/>
    <n v="0.52800000000000002"/>
    <n v="231"/>
    <n v="82"/>
    <n v="18"/>
    <n v="822"/>
    <s v="huertke01"/>
    <n v="2761920"/>
    <n v="3.0506329113924049"/>
  </r>
  <r>
    <x v="2"/>
    <n v="0.50800000000000001"/>
    <n v="124"/>
    <n v="105"/>
    <n v="71"/>
    <n v="255"/>
    <s v="thybuma01"/>
    <n v="2711280"/>
    <n v="1.96875"/>
  </r>
  <r>
    <x v="2"/>
    <n v="0.51600000000000001"/>
    <n v="268"/>
    <n v="35"/>
    <n v="17"/>
    <n v="815"/>
    <s v="herroty01"/>
    <n v="2582160"/>
    <n v="1.8217821782178218"/>
  </r>
  <r>
    <x v="2"/>
    <n v="0.498"/>
    <n v="104"/>
    <n v="26"/>
    <n v="13"/>
    <n v="488"/>
    <s v="maxeyty01"/>
    <n v="2478840"/>
    <n v="2.9268292682926829"/>
  </r>
  <r>
    <x v="2"/>
    <n v="0.46700000000000003"/>
    <n v="89"/>
    <n v="46"/>
    <n v="13"/>
    <n v="475"/>
    <s v="holidaa01"/>
    <n v="2345640"/>
    <n v="1.8636363636363635"/>
  </r>
  <r>
    <x v="2"/>
    <n v="0.61799999999999999"/>
    <n v="112"/>
    <n v="24"/>
    <n v="1"/>
    <n v="701"/>
    <s v="forbebr01"/>
    <n v="2337145"/>
    <n v="1.0227272727272727"/>
  </r>
  <r>
    <x v="2"/>
    <n v="0.56200000000000006"/>
    <n v="158"/>
    <n v="37"/>
    <n v="9"/>
    <n v="510"/>
    <s v="pritcpa01"/>
    <n v="2193480"/>
    <n v="2.2641509433962264"/>
  </r>
  <r>
    <x v="2"/>
    <n v="0.58699999999999997"/>
    <n v="94"/>
    <n v="33"/>
    <n v="10"/>
    <n v="399"/>
    <s v="sumneed01"/>
    <n v="2160000"/>
    <n v="0.96078431372549022"/>
  </r>
  <r>
    <x v="2"/>
    <n v="0.497"/>
    <n v="137"/>
    <n v="30"/>
    <n v="12"/>
    <n v="731"/>
    <s v="quickim01"/>
    <n v="2105520"/>
    <n v="2.1896551724137931"/>
  </r>
  <r>
    <x v="2"/>
    <n v="0.54900000000000004"/>
    <n v="112"/>
    <n v="31"/>
    <n v="10"/>
    <n v="567"/>
    <s v="shamela01"/>
    <n v="2090040"/>
    <n v="2.0625"/>
  </r>
  <r>
    <x v="2"/>
    <n v="0.48499999999999999"/>
    <n v="93"/>
    <n v="16"/>
    <n v="4"/>
    <n v="308"/>
    <s v="dotsoda01"/>
    <n v="2000000"/>
    <n v="2.1666666666666665"/>
  </r>
  <r>
    <x v="2"/>
    <n v="0.45300000000000001"/>
    <n v="116"/>
    <n v="38"/>
    <n v="7"/>
    <n v="353"/>
    <s v="flynnma01"/>
    <n v="1950600"/>
    <n v="3.1860465116279069"/>
  </r>
  <r>
    <x v="2"/>
    <n v="0.52"/>
    <n v="113"/>
    <n v="49"/>
    <n v="9"/>
    <n v="501"/>
    <s v="korkmfu01"/>
    <n v="1762796"/>
    <n v="1.7826086956521738"/>
  </r>
  <r>
    <x v="2"/>
    <n v="0.44800000000000001"/>
    <n v="69"/>
    <n v="17"/>
    <n v="0"/>
    <n v="228"/>
    <s v="goodwbr01"/>
    <n v="1701593"/>
    <n v="2.6388888888888888"/>
  </r>
  <r>
    <x v="2"/>
    <n v="0.503"/>
    <n v="148"/>
    <n v="39"/>
    <n v="18"/>
    <n v="817"/>
    <s v="miltosh01"/>
    <n v="1701593"/>
    <n v="1.8737864077669903"/>
  </r>
  <r>
    <x v="2"/>
    <n v="0.57599999999999996"/>
    <n v="349"/>
    <n v="58"/>
    <n v="28"/>
    <n v="573"/>
    <s v="brownbr01"/>
    <n v="1663861"/>
    <n v="1.9259259259259258"/>
  </r>
  <r>
    <x v="2"/>
    <n v="0.57799999999999996"/>
    <n v="179"/>
    <n v="52"/>
    <n v="14"/>
    <n v="816"/>
    <s v="nunnke01"/>
    <n v="1663861"/>
    <n v="1.85"/>
  </r>
  <r>
    <x v="2"/>
    <n v="0.28599999999999998"/>
    <n v="24"/>
    <n v="4"/>
    <n v="1"/>
    <n v="36"/>
    <s v="dellama01"/>
    <n v="1620564"/>
    <n v="9.6666666666666661"/>
  </r>
  <r>
    <x v="2"/>
    <n v="0.52500000000000002"/>
    <n v="77"/>
    <n v="14"/>
    <n v="0"/>
    <n v="210"/>
    <s v="johnsty01"/>
    <n v="1620564"/>
    <n v="2.7647058823529411"/>
  </r>
  <r>
    <x v="2"/>
    <n v="0.61199999999999999"/>
    <n v="85"/>
    <n v="18"/>
    <n v="9"/>
    <n v="442"/>
    <s v="ellinwa01"/>
    <n v="1620564"/>
    <n v="2.0303030303030303"/>
  </r>
  <r>
    <x v="2"/>
    <n v="0.443"/>
    <n v="224"/>
    <n v="45"/>
    <n v="5"/>
    <n v="788"/>
    <s v="bacondw01"/>
    <n v="1620564"/>
    <n v="2.0217391304347827"/>
  </r>
  <r>
    <x v="2"/>
    <n v="0.53900000000000003"/>
    <n v="156"/>
    <n v="73"/>
    <n v="6"/>
    <n v="557"/>
    <s v="netora01"/>
    <n v="1620564"/>
    <n v="2.7547169811320753"/>
  </r>
  <r>
    <x v="2"/>
    <n v="0.111"/>
    <n v="5"/>
    <n v="0"/>
    <n v="0"/>
    <n v="5"/>
    <s v="lecquja01"/>
    <n v="1517981"/>
    <n v="0"/>
  </r>
  <r>
    <x v="2"/>
    <n v="0.55600000000000005"/>
    <n v="11"/>
    <n v="2"/>
    <n v="0"/>
    <n v="34"/>
    <s v="tuckera01"/>
    <n v="1517981"/>
    <n v="1.5"/>
  </r>
  <r>
    <x v="2"/>
    <n v="0.505"/>
    <n v="26"/>
    <n v="7"/>
    <n v="1"/>
    <n v="123"/>
    <s v="edwarca01"/>
    <n v="1517981"/>
    <n v="2"/>
  </r>
  <r>
    <x v="2"/>
    <n v="0.111"/>
    <n v="5"/>
    <n v="0"/>
    <n v="0"/>
    <n v="2"/>
    <s v="pinsoth01"/>
    <n v="1445697"/>
    <n v="1"/>
  </r>
  <r>
    <x v="2"/>
    <n v="0.125"/>
    <n v="3"/>
    <n v="0"/>
    <n v="0"/>
    <n v="2"/>
    <s v="adamsja01"/>
    <n v="1416852"/>
    <n v="0"/>
  </r>
  <r>
    <x v="2"/>
    <n v="0.17899999999999999"/>
    <n v="15"/>
    <n v="3"/>
    <n v="1"/>
    <n v="6"/>
    <s v="roberan03"/>
    <n v="1340333"/>
    <n v="2"/>
  </r>
  <r>
    <x v="2"/>
    <n v="0.47499999999999998"/>
    <n v="29"/>
    <n v="2"/>
    <n v="0"/>
    <n v="41"/>
    <s v="sirvyde01"/>
    <n v="898310"/>
    <n v="1"/>
  </r>
  <r>
    <x v="2"/>
    <n v="0.59"/>
    <n v="30"/>
    <n v="8"/>
    <n v="1"/>
    <n v="89"/>
    <s v="merrisa01"/>
    <n v="898310"/>
    <n v="2.1"/>
  </r>
  <r>
    <x v="2"/>
    <n v="0.50800000000000001"/>
    <n v="36"/>
    <n v="12"/>
    <n v="4"/>
    <n v="153"/>
    <s v="joeis01"/>
    <n v="898310"/>
    <n v="1.8181818181818181"/>
  </r>
  <r>
    <x v="2"/>
    <n v="0.54800000000000004"/>
    <n v="5"/>
    <n v="4"/>
    <n v="0"/>
    <n v="23"/>
    <s v="dotsode01"/>
    <n v="449155"/>
    <n v="0"/>
  </r>
  <r>
    <x v="2"/>
    <n v="0.75"/>
    <n v="1"/>
    <n v="1"/>
    <n v="0"/>
    <n v="18"/>
    <s v="rillegr01"/>
    <n v="449155"/>
    <n v="3"/>
  </r>
  <r>
    <x v="2"/>
    <n v="0.33700000000000002"/>
    <n v="20"/>
    <n v="1"/>
    <n v="2"/>
    <n v="36"/>
    <s v="stanlca01"/>
    <n v="449155"/>
    <n v="1"/>
  </r>
  <r>
    <x v="2"/>
    <n v="0.42899999999999999"/>
    <n v="1"/>
    <n v="0"/>
    <n v="1"/>
    <n v="9"/>
    <s v="darlina01"/>
    <n v="449155"/>
    <n v="1"/>
  </r>
  <r>
    <x v="2"/>
    <n v="0"/>
    <n v="2"/>
    <n v="0"/>
    <n v="0"/>
    <n v="3"/>
    <s v="harpeja01"/>
    <n v="449155"/>
    <n v="0.33333333333333331"/>
  </r>
  <r>
    <x v="2"/>
    <n v="0.39500000000000002"/>
    <n v="5"/>
    <n v="2"/>
    <n v="1"/>
    <n v="15"/>
    <s v="mokokad01"/>
    <n v="449155"/>
    <n v="1"/>
  </r>
  <r>
    <x v="2"/>
    <n v="0.54500000000000004"/>
    <n v="9"/>
    <n v="2"/>
    <n v="1"/>
    <n v="41"/>
    <s v="winstca01"/>
    <n v="449155"/>
    <n v="2.4"/>
  </r>
  <r>
    <x v="2"/>
    <n v="0.318"/>
    <n v="7"/>
    <n v="5"/>
    <n v="2"/>
    <n v="22"/>
    <s v="martije02"/>
    <n v="449155"/>
    <n v="0.66666666666666663"/>
  </r>
  <r>
    <x v="2"/>
    <n v="0.52"/>
    <n v="35"/>
    <n v="14"/>
    <n v="2"/>
    <n v="124"/>
    <s v="mayssk01"/>
    <n v="449155"/>
    <n v="3.3333333333333335"/>
  </r>
  <r>
    <x v="2"/>
    <n v="0.56999999999999995"/>
    <n v="87"/>
    <n v="29"/>
    <n v="7"/>
    <n v="354"/>
    <s v="mathega01"/>
    <n v="449155"/>
    <n v="2.6"/>
  </r>
  <r>
    <x v="2"/>
    <n v="0.42599999999999999"/>
    <n v="24"/>
    <n v="7"/>
    <n v="6"/>
    <n v="88"/>
    <s v="chiozch01"/>
    <n v="449155"/>
    <n v="4.0625"/>
  </r>
  <r>
    <x v="2"/>
    <n v="0.49399999999999999"/>
    <n v="21"/>
    <n v="15"/>
    <n v="1"/>
    <n v="99"/>
    <s v="watertr01"/>
    <n v="449155"/>
    <n v="2.2962962962962963"/>
  </r>
  <r>
    <x v="2"/>
    <n v="0.47599999999999998"/>
    <n v="56"/>
    <n v="21"/>
    <n v="2"/>
    <n v="242"/>
    <s v="vincega01"/>
    <n v="449155"/>
    <n v="1.9705882352941178"/>
  </r>
  <r>
    <x v="2"/>
    <n v="0.56100000000000005"/>
    <n v="86"/>
    <n v="15"/>
    <n v="1"/>
    <n v="390"/>
    <s v="jacksfr01"/>
    <n v="449155"/>
    <n v="1.0588235294117647"/>
  </r>
  <r>
    <x v="2"/>
    <n v="0.48099999999999998"/>
    <n v="82"/>
    <n v="22"/>
    <n v="5"/>
    <n v="266"/>
    <s v="randlch01"/>
    <n v="449155"/>
    <n v="1.6086956521739131"/>
  </r>
  <r>
    <x v="2"/>
    <n v="0.49"/>
    <n v="97"/>
    <n v="32"/>
    <n v="13"/>
    <n v="267"/>
    <s v="leesa01"/>
    <n v="449155"/>
    <n v="3.1636363636363636"/>
  </r>
  <r>
    <x v="2"/>
    <n v="0.51"/>
    <n v="148"/>
    <n v="48"/>
    <n v="6"/>
    <n v="816"/>
    <s v="grahade01"/>
    <n v="163861"/>
    <n v="3.5119047619047619"/>
  </r>
  <r>
    <x v="2"/>
    <n v="0.42899999999999999"/>
    <n v="32"/>
    <n v="6"/>
    <n v="1"/>
    <n v="100"/>
    <s v="jamesmi02"/>
    <n v="39608"/>
    <n v="2.7"/>
  </r>
  <r>
    <x v="2"/>
    <n v="0.5"/>
    <n v="6"/>
    <n v="0"/>
    <n v="1"/>
    <n v="16"/>
    <s v="bryanel01"/>
    <n v="24611"/>
    <n v="0.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38B227-D053-D54D-BD2B-28BF608AEB4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ference">
  <location ref="B2:D6" firstHeaderRow="0" firstDataRow="1" firstDataCol="1"/>
  <pivotFields count="12">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Frequency" fld="2" subtotal="count" baseField="0" baseItem="0"/>
    <dataField name="Rel. Frequency" fld="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DE5C1E-7BD6-0142-9C0A-CEEA8A3FA44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sition">
  <location ref="K2:M6" firstHeaderRow="0" firstDataRow="1" firstDataCol="1"/>
  <pivotFields count="12">
    <pivotField showAll="0"/>
    <pivotField showAll="0"/>
    <pivotField showAll="0">
      <items count="4">
        <item x="2"/>
        <item x="1"/>
        <item x="0"/>
        <item t="default"/>
      </items>
    </pivotField>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Frequency" fld="3" subtotal="count" baseField="0" baseItem="0"/>
    <dataField name="Rel. Frequency" fld="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0C303E-14DA-D34A-896E-E3BFE513CC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C23" firstHeaderRow="1" firstDataRow="1" firstDataCol="1"/>
  <pivotFields count="12">
    <pivotField showAll="0"/>
    <pivotField axis="axisRow" dataField="1" showAll="0">
      <items count="21">
        <item x="8"/>
        <item x="11"/>
        <item x="9"/>
        <item x="6"/>
        <item x="10"/>
        <item x="12"/>
        <item x="1"/>
        <item x="4"/>
        <item x="0"/>
        <item x="2"/>
        <item x="5"/>
        <item x="15"/>
        <item x="7"/>
        <item x="13"/>
        <item x="17"/>
        <item x="3"/>
        <item x="16"/>
        <item x="14"/>
        <item x="19"/>
        <item x="18"/>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Age"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B0E0EA-D453-384E-B333-0525FD0C79A9}"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6:C80" firstHeaderRow="1" firstDataRow="1" firstDataCol="1"/>
  <pivotFields count="9">
    <pivotField axis="axisRow" showAll="0" sortType="descending">
      <items count="4">
        <item x="2"/>
        <item x="1"/>
        <item x="0"/>
        <item t="default"/>
      </items>
    </pivotField>
    <pivotField showAll="0"/>
    <pivotField showAll="0"/>
    <pivotField showAll="0"/>
    <pivotField showAll="0"/>
    <pivotField showAll="0"/>
    <pivotField showAll="0"/>
    <pivotField showAll="0"/>
    <pivotField dataField="1" showAll="0"/>
  </pivotFields>
  <rowFields count="1">
    <field x="0"/>
  </rowFields>
  <rowItems count="4">
    <i>
      <x/>
    </i>
    <i>
      <x v="1"/>
    </i>
    <i>
      <x v="2"/>
    </i>
    <i t="grand">
      <x/>
    </i>
  </rowItems>
  <colItems count="1">
    <i/>
  </colItems>
  <dataFields count="1">
    <dataField name="Average of AstTovRatio" fld="8"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29AD55-3F2F-FF43-BB72-D62943B461DB}"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0:C64" firstHeaderRow="1" firstDataRow="1" firstDataCol="1"/>
  <pivotFields count="1">
    <pivotField axis="axisRow" dataField="1" showAll="0" sortType="descending">
      <items count="4">
        <item x="2"/>
        <item x="1"/>
        <item x="0"/>
        <item t="default"/>
      </items>
    </pivotField>
  </pivotFields>
  <rowFields count="1">
    <field x="0"/>
  </rowFields>
  <rowItems count="4">
    <i>
      <x/>
    </i>
    <i>
      <x v="1"/>
    </i>
    <i>
      <x v="2"/>
    </i>
    <i t="grand">
      <x/>
    </i>
  </rowItems>
  <colItems count="1">
    <i/>
  </colItems>
  <dataFields count="1">
    <dataField name="Count of Po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3F2206-0342-2D46-ACDD-341B250329A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3:C47" firstHeaderRow="1" firstDataRow="1" firstDataCol="1"/>
  <pivotFields count="1">
    <pivotField axis="axisRow" dataField="1" showAll="0">
      <items count="5">
        <item x="2"/>
        <item x="1"/>
        <item x="0"/>
        <item h="1" x="3"/>
        <item t="default"/>
      </items>
    </pivotField>
  </pivotFields>
  <rowFields count="1">
    <field x="0"/>
  </rowFields>
  <rowItems count="4">
    <i>
      <x/>
    </i>
    <i>
      <x v="1"/>
    </i>
    <i>
      <x v="2"/>
    </i>
    <i t="grand">
      <x/>
    </i>
  </rowItems>
  <colItems count="1">
    <i/>
  </colItems>
  <dataFields count="1">
    <dataField name="Count of Conf"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63771A-3F5B-2547-AEEF-DAD82391D3A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5:C35" firstHeaderRow="1" firstDataRow="1" firstDataCol="1"/>
  <pivotFields count="1">
    <pivotField axis="axisRow" dataField="1" showAll="0">
      <items count="12">
        <item x="0"/>
        <item n="&gt;$5" x="1"/>
        <item n="$5-10" x="2"/>
        <item n="$10-15" x="3"/>
        <item n="$15-20" x="4"/>
        <item n="$20-25" x="5"/>
        <item n="$25-30" x="6"/>
        <item n="$30-35" x="7"/>
        <item n="$35-40" x="8"/>
        <item n="$40-45" x="9"/>
        <item x="10"/>
        <item t="default"/>
      </items>
    </pivotField>
  </pivotFields>
  <rowFields count="1">
    <field x="0"/>
  </rowFields>
  <rowItems count="10">
    <i>
      <x v="1"/>
    </i>
    <i>
      <x v="2"/>
    </i>
    <i>
      <x v="3"/>
    </i>
    <i>
      <x v="4"/>
    </i>
    <i>
      <x v="5"/>
    </i>
    <i>
      <x v="6"/>
    </i>
    <i>
      <x v="7"/>
    </i>
    <i>
      <x v="8"/>
    </i>
    <i>
      <x v="9"/>
    </i>
    <i t="grand">
      <x/>
    </i>
  </rowItems>
  <colItems count="1">
    <i/>
  </colItems>
  <dataFields count="1">
    <dataField name="Count of SalaryUS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1.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E670-5F4D-0E4B-A612-15CD5FC5AEA5}">
  <dimension ref="A1:L514"/>
  <sheetViews>
    <sheetView topLeftCell="A46" zoomScale="111" zoomScaleNormal="100" workbookViewId="0">
      <selection activeCell="D1" sqref="D1"/>
    </sheetView>
  </sheetViews>
  <sheetFormatPr baseColWidth="10" defaultRowHeight="16" x14ac:dyDescent="0.2"/>
  <cols>
    <col min="1" max="1" width="22.6640625" bestFit="1" customWidth="1"/>
    <col min="3" max="3" width="13.6640625" bestFit="1" customWidth="1"/>
    <col min="10" max="10" width="14.33203125" bestFit="1" customWidth="1"/>
  </cols>
  <sheetData>
    <row r="1" spans="1:12" x14ac:dyDescent="0.2">
      <c r="A1" s="1" t="s">
        <v>0</v>
      </c>
      <c r="B1" s="1" t="s">
        <v>1</v>
      </c>
      <c r="C1" s="1" t="s">
        <v>1042</v>
      </c>
      <c r="D1" s="1" t="s">
        <v>2</v>
      </c>
      <c r="E1" s="1" t="s">
        <v>3</v>
      </c>
      <c r="F1" s="1" t="s">
        <v>4</v>
      </c>
      <c r="G1" s="1" t="s">
        <v>5</v>
      </c>
      <c r="H1" s="1" t="s">
        <v>6</v>
      </c>
      <c r="I1" s="1" t="s">
        <v>7</v>
      </c>
      <c r="J1" s="1" t="s">
        <v>8</v>
      </c>
      <c r="K1" s="1" t="s">
        <v>9</v>
      </c>
      <c r="L1" s="2" t="s">
        <v>1043</v>
      </c>
    </row>
    <row r="2" spans="1:12" x14ac:dyDescent="0.2">
      <c r="A2" t="s">
        <v>52</v>
      </c>
      <c r="B2">
        <v>27</v>
      </c>
      <c r="C2" t="s">
        <v>1039</v>
      </c>
      <c r="D2" t="s">
        <v>1038</v>
      </c>
      <c r="E2">
        <v>0.61399999999999999</v>
      </c>
      <c r="F2">
        <v>514</v>
      </c>
      <c r="G2">
        <v>54</v>
      </c>
      <c r="H2">
        <v>38</v>
      </c>
      <c r="I2">
        <v>438</v>
      </c>
      <c r="J2" t="s">
        <v>53</v>
      </c>
      <c r="K2">
        <v>29592696</v>
      </c>
      <c r="L2">
        <v>1.4230769230769231</v>
      </c>
    </row>
    <row r="3" spans="1:12" x14ac:dyDescent="0.2">
      <c r="A3" t="s">
        <v>56</v>
      </c>
      <c r="B3">
        <v>25</v>
      </c>
      <c r="C3" t="s">
        <v>1039</v>
      </c>
      <c r="D3" t="s">
        <v>1038</v>
      </c>
      <c r="E3">
        <v>0.60199999999999998</v>
      </c>
      <c r="F3">
        <v>780</v>
      </c>
      <c r="G3">
        <v>95</v>
      </c>
      <c r="H3">
        <v>48</v>
      </c>
      <c r="I3">
        <v>1898</v>
      </c>
      <c r="J3" t="s">
        <v>57</v>
      </c>
      <c r="K3">
        <v>29542010</v>
      </c>
      <c r="L3">
        <v>2.6981981981981984</v>
      </c>
    </row>
    <row r="4" spans="1:12" x14ac:dyDescent="0.2">
      <c r="A4" t="s">
        <v>60</v>
      </c>
      <c r="B4">
        <v>25</v>
      </c>
      <c r="C4" t="s">
        <v>1039</v>
      </c>
      <c r="D4" t="s">
        <v>1038</v>
      </c>
      <c r="E4">
        <v>0.54700000000000004</v>
      </c>
      <c r="F4">
        <v>381</v>
      </c>
      <c r="G4">
        <v>20</v>
      </c>
      <c r="H4">
        <v>58</v>
      </c>
      <c r="I4">
        <v>865</v>
      </c>
      <c r="J4" t="s">
        <v>61</v>
      </c>
      <c r="K4">
        <v>29467800</v>
      </c>
      <c r="L4">
        <v>1.3333333333333333</v>
      </c>
    </row>
    <row r="5" spans="1:12" x14ac:dyDescent="0.2">
      <c r="A5" t="s">
        <v>62</v>
      </c>
      <c r="B5">
        <v>25</v>
      </c>
      <c r="C5" t="s">
        <v>1039</v>
      </c>
      <c r="D5" t="s">
        <v>1038</v>
      </c>
      <c r="E5">
        <v>0.55500000000000005</v>
      </c>
      <c r="F5">
        <v>529</v>
      </c>
      <c r="G5">
        <v>39</v>
      </c>
      <c r="H5">
        <v>57</v>
      </c>
      <c r="I5">
        <v>1239</v>
      </c>
      <c r="J5" t="s">
        <v>63</v>
      </c>
      <c r="K5">
        <v>29467800</v>
      </c>
      <c r="L5">
        <v>1.40625</v>
      </c>
    </row>
    <row r="6" spans="1:12" x14ac:dyDescent="0.2">
      <c r="A6" t="s">
        <v>80</v>
      </c>
      <c r="B6">
        <v>28</v>
      </c>
      <c r="C6" t="s">
        <v>1039</v>
      </c>
      <c r="D6" t="s">
        <v>1038</v>
      </c>
      <c r="E6">
        <v>0.67500000000000004</v>
      </c>
      <c r="F6">
        <v>960</v>
      </c>
      <c r="G6">
        <v>40</v>
      </c>
      <c r="H6">
        <v>190</v>
      </c>
      <c r="I6">
        <v>1015</v>
      </c>
      <c r="J6" t="s">
        <v>81</v>
      </c>
      <c r="K6">
        <v>27525281</v>
      </c>
      <c r="L6">
        <v>0.75423728813559321</v>
      </c>
    </row>
    <row r="7" spans="1:12" x14ac:dyDescent="0.2">
      <c r="A7" t="s">
        <v>82</v>
      </c>
      <c r="B7">
        <v>34</v>
      </c>
      <c r="C7" t="s">
        <v>1039</v>
      </c>
      <c r="D7" t="s">
        <v>1038</v>
      </c>
      <c r="E7">
        <v>0.52800000000000002</v>
      </c>
      <c r="F7">
        <v>188</v>
      </c>
      <c r="G7">
        <v>25</v>
      </c>
      <c r="H7">
        <v>26</v>
      </c>
      <c r="I7">
        <v>398</v>
      </c>
      <c r="J7" t="s">
        <v>83</v>
      </c>
      <c r="K7">
        <v>27500000</v>
      </c>
      <c r="L7">
        <v>3.2413793103448274</v>
      </c>
    </row>
    <row r="8" spans="1:12" x14ac:dyDescent="0.2">
      <c r="A8" t="s">
        <v>160</v>
      </c>
      <c r="B8">
        <v>28</v>
      </c>
      <c r="C8" t="s">
        <v>1039</v>
      </c>
      <c r="D8" t="s">
        <v>1038</v>
      </c>
      <c r="E8">
        <v>0.60599999999999998</v>
      </c>
      <c r="F8">
        <v>776</v>
      </c>
      <c r="G8">
        <v>35</v>
      </c>
      <c r="H8">
        <v>57</v>
      </c>
      <c r="I8">
        <v>1058</v>
      </c>
      <c r="J8" t="s">
        <v>161</v>
      </c>
      <c r="K8">
        <v>15000000</v>
      </c>
      <c r="L8">
        <v>1.1200000000000001</v>
      </c>
    </row>
    <row r="9" spans="1:12" x14ac:dyDescent="0.2">
      <c r="A9" t="s">
        <v>184</v>
      </c>
      <c r="B9">
        <v>25</v>
      </c>
      <c r="C9" t="s">
        <v>1039</v>
      </c>
      <c r="D9" t="s">
        <v>1038</v>
      </c>
      <c r="E9">
        <v>0.57399999999999995</v>
      </c>
      <c r="F9">
        <v>395</v>
      </c>
      <c r="G9">
        <v>34</v>
      </c>
      <c r="H9">
        <v>48</v>
      </c>
      <c r="I9">
        <v>860</v>
      </c>
      <c r="J9" t="s">
        <v>185</v>
      </c>
      <c r="K9">
        <v>13015873</v>
      </c>
      <c r="L9">
        <v>0.88749999999999996</v>
      </c>
    </row>
    <row r="10" spans="1:12" x14ac:dyDescent="0.2">
      <c r="A10" t="s">
        <v>190</v>
      </c>
      <c r="B10">
        <v>26</v>
      </c>
      <c r="C10" t="s">
        <v>1039</v>
      </c>
      <c r="D10" t="s">
        <v>1038</v>
      </c>
      <c r="E10">
        <v>0.53200000000000003</v>
      </c>
      <c r="F10">
        <v>332</v>
      </c>
      <c r="G10">
        <v>38</v>
      </c>
      <c r="H10">
        <v>39</v>
      </c>
      <c r="I10">
        <v>424</v>
      </c>
      <c r="J10" t="s">
        <v>191</v>
      </c>
      <c r="K10">
        <v>12888889</v>
      </c>
      <c r="L10">
        <v>1.7123287671232876</v>
      </c>
    </row>
    <row r="11" spans="1:12" x14ac:dyDescent="0.2">
      <c r="A11" t="s">
        <v>220</v>
      </c>
      <c r="B11">
        <v>29</v>
      </c>
      <c r="C11" t="s">
        <v>1039</v>
      </c>
      <c r="D11" t="s">
        <v>1038</v>
      </c>
      <c r="E11">
        <v>0.63100000000000001</v>
      </c>
      <c r="F11">
        <v>234</v>
      </c>
      <c r="G11">
        <v>36</v>
      </c>
      <c r="H11">
        <v>30</v>
      </c>
      <c r="I11">
        <v>342</v>
      </c>
      <c r="J11" t="s">
        <v>221</v>
      </c>
      <c r="K11">
        <v>11080125</v>
      </c>
      <c r="L11">
        <v>1.575</v>
      </c>
    </row>
    <row r="12" spans="1:12" x14ac:dyDescent="0.2">
      <c r="A12" t="s">
        <v>252</v>
      </c>
      <c r="B12">
        <v>22</v>
      </c>
      <c r="C12" t="s">
        <v>1039</v>
      </c>
      <c r="D12" t="s">
        <v>1038</v>
      </c>
      <c r="E12">
        <v>0.629</v>
      </c>
      <c r="F12">
        <v>727</v>
      </c>
      <c r="G12">
        <v>41</v>
      </c>
      <c r="H12">
        <v>81</v>
      </c>
      <c r="I12">
        <v>997</v>
      </c>
      <c r="J12" t="s">
        <v>253</v>
      </c>
      <c r="K12">
        <v>9562920</v>
      </c>
      <c r="L12">
        <v>0.96116504854368934</v>
      </c>
    </row>
    <row r="13" spans="1:12" x14ac:dyDescent="0.2">
      <c r="A13" t="s">
        <v>264</v>
      </c>
      <c r="B13">
        <v>29</v>
      </c>
      <c r="C13" t="s">
        <v>1039</v>
      </c>
      <c r="D13" t="s">
        <v>1038</v>
      </c>
      <c r="E13">
        <v>0.63800000000000001</v>
      </c>
      <c r="F13">
        <v>376</v>
      </c>
      <c r="G13">
        <v>32</v>
      </c>
      <c r="H13">
        <v>68</v>
      </c>
      <c r="I13">
        <v>369</v>
      </c>
      <c r="J13" t="s">
        <v>265</v>
      </c>
      <c r="K13">
        <v>9258000</v>
      </c>
      <c r="L13">
        <v>1.2222222222222223</v>
      </c>
    </row>
    <row r="14" spans="1:12" x14ac:dyDescent="0.2">
      <c r="A14" t="s">
        <v>266</v>
      </c>
      <c r="B14">
        <v>31</v>
      </c>
      <c r="C14" t="s">
        <v>1039</v>
      </c>
      <c r="D14" t="s">
        <v>1038</v>
      </c>
      <c r="E14">
        <v>0.56299999999999994</v>
      </c>
      <c r="F14">
        <v>275</v>
      </c>
      <c r="G14">
        <v>9</v>
      </c>
      <c r="H14">
        <v>47</v>
      </c>
      <c r="I14">
        <v>454</v>
      </c>
      <c r="J14" t="s">
        <v>267</v>
      </c>
      <c r="K14">
        <v>9258000</v>
      </c>
      <c r="L14">
        <v>1.6818181818181819</v>
      </c>
    </row>
    <row r="15" spans="1:12" x14ac:dyDescent="0.2">
      <c r="A15" t="s">
        <v>268</v>
      </c>
      <c r="B15">
        <v>27</v>
      </c>
      <c r="C15" t="s">
        <v>1039</v>
      </c>
      <c r="D15" t="s">
        <v>1038</v>
      </c>
      <c r="E15">
        <v>0.622</v>
      </c>
      <c r="F15">
        <v>428</v>
      </c>
      <c r="G15">
        <v>46</v>
      </c>
      <c r="H15">
        <v>49</v>
      </c>
      <c r="I15">
        <v>931</v>
      </c>
      <c r="J15" t="s">
        <v>269</v>
      </c>
      <c r="K15">
        <v>9258000</v>
      </c>
      <c r="L15">
        <v>0.98648648648648651</v>
      </c>
    </row>
    <row r="16" spans="1:12" x14ac:dyDescent="0.2">
      <c r="A16" t="s">
        <v>270</v>
      </c>
      <c r="B16">
        <v>26</v>
      </c>
      <c r="C16" t="s">
        <v>1039</v>
      </c>
      <c r="D16" t="s">
        <v>1038</v>
      </c>
      <c r="E16">
        <v>0.51600000000000001</v>
      </c>
      <c r="F16">
        <v>190</v>
      </c>
      <c r="G16">
        <v>30</v>
      </c>
      <c r="H16">
        <v>4</v>
      </c>
      <c r="I16">
        <v>437</v>
      </c>
      <c r="J16" t="s">
        <v>271</v>
      </c>
      <c r="K16">
        <v>9250000</v>
      </c>
      <c r="L16">
        <v>1.1403508771929824</v>
      </c>
    </row>
    <row r="17" spans="1:12" x14ac:dyDescent="0.2">
      <c r="A17" t="s">
        <v>282</v>
      </c>
      <c r="B17">
        <v>19</v>
      </c>
      <c r="C17" t="s">
        <v>1039</v>
      </c>
      <c r="D17" t="s">
        <v>1038</v>
      </c>
      <c r="E17">
        <v>0.53500000000000003</v>
      </c>
      <c r="F17">
        <v>226</v>
      </c>
      <c r="G17">
        <v>11</v>
      </c>
      <c r="H17">
        <v>36</v>
      </c>
      <c r="I17">
        <v>448</v>
      </c>
      <c r="J17" t="s">
        <v>283</v>
      </c>
      <c r="K17">
        <v>8730240</v>
      </c>
      <c r="L17">
        <v>0.43333333333333335</v>
      </c>
    </row>
    <row r="18" spans="1:12" x14ac:dyDescent="0.2">
      <c r="A18" t="s">
        <v>292</v>
      </c>
      <c r="B18">
        <v>25</v>
      </c>
      <c r="C18" t="s">
        <v>1039</v>
      </c>
      <c r="D18" t="s">
        <v>1038</v>
      </c>
      <c r="E18">
        <v>0.61599999999999999</v>
      </c>
      <c r="F18">
        <v>547</v>
      </c>
      <c r="G18">
        <v>47</v>
      </c>
      <c r="H18">
        <v>123</v>
      </c>
      <c r="I18">
        <v>593</v>
      </c>
      <c r="J18" t="s">
        <v>293</v>
      </c>
      <c r="K18">
        <v>8101852</v>
      </c>
      <c r="L18">
        <v>1.6144578313253013</v>
      </c>
    </row>
    <row r="19" spans="1:12" x14ac:dyDescent="0.2">
      <c r="A19" t="s">
        <v>320</v>
      </c>
      <c r="B19">
        <v>21</v>
      </c>
      <c r="C19" t="s">
        <v>1039</v>
      </c>
      <c r="D19" t="s">
        <v>1038</v>
      </c>
      <c r="E19">
        <v>0.49199999999999999</v>
      </c>
      <c r="F19">
        <v>62</v>
      </c>
      <c r="G19">
        <v>12</v>
      </c>
      <c r="H19">
        <v>18</v>
      </c>
      <c r="I19">
        <v>158</v>
      </c>
      <c r="J19" t="s">
        <v>321</v>
      </c>
      <c r="K19">
        <v>7257360</v>
      </c>
      <c r="L19">
        <v>0.8</v>
      </c>
    </row>
    <row r="20" spans="1:12" x14ac:dyDescent="0.2">
      <c r="A20" t="s">
        <v>326</v>
      </c>
      <c r="B20">
        <v>23</v>
      </c>
      <c r="C20" t="s">
        <v>1039</v>
      </c>
      <c r="D20" t="s">
        <v>1038</v>
      </c>
      <c r="E20">
        <v>0.65400000000000003</v>
      </c>
      <c r="F20">
        <v>519</v>
      </c>
      <c r="G20">
        <v>24</v>
      </c>
      <c r="H20">
        <v>62</v>
      </c>
      <c r="I20">
        <v>650</v>
      </c>
      <c r="J20" t="s">
        <v>327</v>
      </c>
      <c r="K20">
        <v>7000000</v>
      </c>
      <c r="L20">
        <v>1.1111111111111112</v>
      </c>
    </row>
    <row r="21" spans="1:12" x14ac:dyDescent="0.2">
      <c r="A21" t="s">
        <v>382</v>
      </c>
      <c r="B21">
        <v>20</v>
      </c>
      <c r="C21" t="s">
        <v>1039</v>
      </c>
      <c r="D21" t="s">
        <v>1038</v>
      </c>
      <c r="E21">
        <v>0.63600000000000001</v>
      </c>
      <c r="F21">
        <v>257</v>
      </c>
      <c r="G21">
        <v>25</v>
      </c>
      <c r="H21">
        <v>38</v>
      </c>
      <c r="I21">
        <v>449</v>
      </c>
      <c r="J21" t="s">
        <v>383</v>
      </c>
      <c r="K21">
        <v>5105160</v>
      </c>
      <c r="L21">
        <v>0.89743589743589747</v>
      </c>
    </row>
    <row r="22" spans="1:12" x14ac:dyDescent="0.2">
      <c r="A22" t="s">
        <v>388</v>
      </c>
      <c r="B22">
        <v>31</v>
      </c>
      <c r="C22" t="s">
        <v>1039</v>
      </c>
      <c r="D22" t="s">
        <v>1038</v>
      </c>
      <c r="E22">
        <v>0.432</v>
      </c>
      <c r="F22">
        <v>115</v>
      </c>
      <c r="G22">
        <v>13</v>
      </c>
      <c r="H22">
        <v>13</v>
      </c>
      <c r="I22">
        <v>48</v>
      </c>
      <c r="J22" t="s">
        <v>389</v>
      </c>
      <c r="K22">
        <v>5005350</v>
      </c>
      <c r="L22">
        <v>3</v>
      </c>
    </row>
    <row r="23" spans="1:12" x14ac:dyDescent="0.2">
      <c r="A23" t="s">
        <v>390</v>
      </c>
      <c r="B23">
        <v>27</v>
      </c>
      <c r="C23" t="s">
        <v>1039</v>
      </c>
      <c r="D23" t="s">
        <v>1038</v>
      </c>
      <c r="E23">
        <v>0.63800000000000001</v>
      </c>
      <c r="F23">
        <v>504</v>
      </c>
      <c r="G23">
        <v>39</v>
      </c>
      <c r="H23">
        <v>96</v>
      </c>
      <c r="I23">
        <v>869</v>
      </c>
      <c r="J23" t="s">
        <v>391</v>
      </c>
      <c r="K23">
        <v>5005350</v>
      </c>
      <c r="L23">
        <v>1.3466666666666667</v>
      </c>
    </row>
    <row r="24" spans="1:12" x14ac:dyDescent="0.2">
      <c r="A24" t="s">
        <v>384</v>
      </c>
      <c r="B24">
        <v>28</v>
      </c>
      <c r="C24" t="s">
        <v>1039</v>
      </c>
      <c r="D24" t="s">
        <v>1038</v>
      </c>
      <c r="E24">
        <v>0.60499999999999998</v>
      </c>
      <c r="F24">
        <v>795</v>
      </c>
      <c r="G24">
        <v>33</v>
      </c>
      <c r="H24">
        <v>48</v>
      </c>
      <c r="I24">
        <v>806</v>
      </c>
      <c r="J24" t="s">
        <v>385</v>
      </c>
      <c r="K24">
        <v>5005350</v>
      </c>
      <c r="L24">
        <v>1.0769230769230769</v>
      </c>
    </row>
    <row r="25" spans="1:12" x14ac:dyDescent="0.2">
      <c r="A25" t="s">
        <v>420</v>
      </c>
      <c r="B25">
        <v>24</v>
      </c>
      <c r="C25" t="s">
        <v>1039</v>
      </c>
      <c r="D25" t="s">
        <v>1038</v>
      </c>
      <c r="E25">
        <v>0.55800000000000005</v>
      </c>
      <c r="F25">
        <v>322</v>
      </c>
      <c r="G25">
        <v>21</v>
      </c>
      <c r="H25">
        <v>22</v>
      </c>
      <c r="I25">
        <v>251</v>
      </c>
      <c r="J25" t="s">
        <v>421</v>
      </c>
      <c r="K25">
        <v>4464226</v>
      </c>
      <c r="L25">
        <v>3.2162162162162162</v>
      </c>
    </row>
    <row r="26" spans="1:12" x14ac:dyDescent="0.2">
      <c r="A26" t="s">
        <v>440</v>
      </c>
      <c r="B26">
        <v>27</v>
      </c>
      <c r="C26" t="s">
        <v>1039</v>
      </c>
      <c r="D26" t="s">
        <v>1038</v>
      </c>
      <c r="E26">
        <v>0.63500000000000001</v>
      </c>
      <c r="F26">
        <v>236</v>
      </c>
      <c r="G26">
        <v>21</v>
      </c>
      <c r="H26">
        <v>43</v>
      </c>
      <c r="I26">
        <v>280</v>
      </c>
      <c r="J26" t="s">
        <v>441</v>
      </c>
      <c r="K26">
        <v>4100000</v>
      </c>
      <c r="L26">
        <v>1.2068965517241379</v>
      </c>
    </row>
    <row r="27" spans="1:12" x14ac:dyDescent="0.2">
      <c r="A27" t="s">
        <v>496</v>
      </c>
      <c r="B27">
        <v>32</v>
      </c>
      <c r="C27" t="s">
        <v>1039</v>
      </c>
      <c r="D27" t="s">
        <v>1038</v>
      </c>
      <c r="E27">
        <v>0.51200000000000001</v>
      </c>
      <c r="F27">
        <v>128</v>
      </c>
      <c r="G27">
        <v>2</v>
      </c>
      <c r="H27">
        <v>6</v>
      </c>
      <c r="I27">
        <v>156</v>
      </c>
      <c r="J27" t="s">
        <v>497</v>
      </c>
      <c r="K27">
        <v>3500000</v>
      </c>
      <c r="L27">
        <v>0.83333333333333337</v>
      </c>
    </row>
    <row r="28" spans="1:12" x14ac:dyDescent="0.2">
      <c r="A28" t="s">
        <v>556</v>
      </c>
      <c r="B28">
        <v>36</v>
      </c>
      <c r="C28" t="s">
        <v>1039</v>
      </c>
      <c r="D28" t="s">
        <v>1038</v>
      </c>
      <c r="E28">
        <v>0.58199999999999996</v>
      </c>
      <c r="F28">
        <v>215</v>
      </c>
      <c r="G28">
        <v>26</v>
      </c>
      <c r="H28">
        <v>58</v>
      </c>
      <c r="I28">
        <v>262</v>
      </c>
      <c r="J28" t="s">
        <v>557</v>
      </c>
      <c r="K28">
        <v>2564753</v>
      </c>
      <c r="L28">
        <v>2.0566037735849059</v>
      </c>
    </row>
    <row r="29" spans="1:12" x14ac:dyDescent="0.2">
      <c r="A29" t="s">
        <v>578</v>
      </c>
      <c r="B29">
        <v>29</v>
      </c>
      <c r="C29" t="s">
        <v>1039</v>
      </c>
      <c r="D29" t="s">
        <v>1038</v>
      </c>
      <c r="E29">
        <v>0.57299999999999995</v>
      </c>
      <c r="F29">
        <v>132</v>
      </c>
      <c r="G29">
        <v>8</v>
      </c>
      <c r="H29">
        <v>11</v>
      </c>
      <c r="I29">
        <v>339</v>
      </c>
      <c r="J29" t="s">
        <v>579</v>
      </c>
      <c r="K29">
        <v>2283034</v>
      </c>
      <c r="L29">
        <v>1.3333333333333333</v>
      </c>
    </row>
    <row r="30" spans="1:12" x14ac:dyDescent="0.2">
      <c r="A30" t="s">
        <v>620</v>
      </c>
      <c r="B30">
        <v>21</v>
      </c>
      <c r="C30" t="s">
        <v>1039</v>
      </c>
      <c r="D30" t="s">
        <v>1038</v>
      </c>
      <c r="E30">
        <v>0.44400000000000001</v>
      </c>
      <c r="F30">
        <v>13</v>
      </c>
      <c r="G30">
        <v>1</v>
      </c>
      <c r="H30">
        <v>4</v>
      </c>
      <c r="I30">
        <v>16</v>
      </c>
      <c r="J30" t="s">
        <v>621</v>
      </c>
      <c r="K30">
        <v>1977000</v>
      </c>
      <c r="L30">
        <v>0</v>
      </c>
    </row>
    <row r="31" spans="1:12" x14ac:dyDescent="0.2">
      <c r="A31" t="s">
        <v>698</v>
      </c>
      <c r="B31">
        <v>22</v>
      </c>
      <c r="C31" t="s">
        <v>1039</v>
      </c>
      <c r="D31" t="s">
        <v>1038</v>
      </c>
      <c r="E31">
        <v>0.47399999999999998</v>
      </c>
      <c r="F31">
        <v>133</v>
      </c>
      <c r="G31">
        <v>8</v>
      </c>
      <c r="H31">
        <v>13</v>
      </c>
      <c r="I31">
        <v>108</v>
      </c>
      <c r="J31" t="s">
        <v>699</v>
      </c>
      <c r="K31">
        <v>1620564</v>
      </c>
      <c r="L31">
        <v>1.45</v>
      </c>
    </row>
    <row r="32" spans="1:12" x14ac:dyDescent="0.2">
      <c r="A32" t="s">
        <v>706</v>
      </c>
      <c r="B32">
        <v>27</v>
      </c>
      <c r="C32" t="s">
        <v>1039</v>
      </c>
      <c r="D32" t="s">
        <v>1038</v>
      </c>
      <c r="E32">
        <v>0.53100000000000003</v>
      </c>
      <c r="F32">
        <v>188</v>
      </c>
      <c r="G32">
        <v>14</v>
      </c>
      <c r="H32">
        <v>17</v>
      </c>
      <c r="I32">
        <v>310</v>
      </c>
      <c r="J32" t="s">
        <v>707</v>
      </c>
      <c r="K32">
        <v>1620564</v>
      </c>
      <c r="L32">
        <v>3.5909090909090908</v>
      </c>
    </row>
    <row r="33" spans="1:12" x14ac:dyDescent="0.2">
      <c r="A33" t="s">
        <v>714</v>
      </c>
      <c r="B33">
        <v>26</v>
      </c>
      <c r="C33" t="s">
        <v>1039</v>
      </c>
      <c r="D33" t="s">
        <v>1038</v>
      </c>
      <c r="E33">
        <v>0.56499999999999995</v>
      </c>
      <c r="F33">
        <v>334</v>
      </c>
      <c r="G33">
        <v>22</v>
      </c>
      <c r="H33">
        <v>23</v>
      </c>
      <c r="I33">
        <v>365</v>
      </c>
      <c r="J33" t="s">
        <v>715</v>
      </c>
      <c r="K33">
        <v>1620564</v>
      </c>
      <c r="L33">
        <v>1.4705882352941178</v>
      </c>
    </row>
    <row r="34" spans="1:12" x14ac:dyDescent="0.2">
      <c r="A34" t="s">
        <v>732</v>
      </c>
      <c r="B34">
        <v>31</v>
      </c>
      <c r="C34" t="s">
        <v>1039</v>
      </c>
      <c r="D34" t="s">
        <v>1038</v>
      </c>
      <c r="E34">
        <v>0.56299999999999994</v>
      </c>
      <c r="F34">
        <v>215</v>
      </c>
      <c r="G34">
        <v>9</v>
      </c>
      <c r="H34">
        <v>46</v>
      </c>
      <c r="I34">
        <v>293</v>
      </c>
      <c r="J34" t="s">
        <v>733</v>
      </c>
      <c r="K34">
        <v>1620564</v>
      </c>
      <c r="L34">
        <v>0.5</v>
      </c>
    </row>
    <row r="35" spans="1:12" x14ac:dyDescent="0.2">
      <c r="A35" t="s">
        <v>730</v>
      </c>
      <c r="B35">
        <v>23</v>
      </c>
      <c r="C35" t="s">
        <v>1039</v>
      </c>
      <c r="D35" t="s">
        <v>1038</v>
      </c>
      <c r="E35">
        <v>0.57099999999999995</v>
      </c>
      <c r="F35">
        <v>241</v>
      </c>
      <c r="G35">
        <v>18</v>
      </c>
      <c r="H35">
        <v>49</v>
      </c>
      <c r="I35">
        <v>311</v>
      </c>
      <c r="J35" t="s">
        <v>731</v>
      </c>
      <c r="K35">
        <v>1620564</v>
      </c>
      <c r="L35">
        <v>0.93333333333333335</v>
      </c>
    </row>
    <row r="36" spans="1:12" x14ac:dyDescent="0.2">
      <c r="A36" t="s">
        <v>764</v>
      </c>
      <c r="B36">
        <v>21</v>
      </c>
      <c r="C36" t="s">
        <v>1039</v>
      </c>
      <c r="D36" t="s">
        <v>1038</v>
      </c>
      <c r="E36">
        <v>0.57599999999999996</v>
      </c>
      <c r="F36">
        <v>322</v>
      </c>
      <c r="G36">
        <v>34</v>
      </c>
      <c r="H36">
        <v>76</v>
      </c>
      <c r="I36">
        <v>784</v>
      </c>
      <c r="J36" t="s">
        <v>765</v>
      </c>
      <c r="K36">
        <v>1517981</v>
      </c>
      <c r="L36">
        <v>1.0434782608695652</v>
      </c>
    </row>
    <row r="37" spans="1:12" x14ac:dyDescent="0.2">
      <c r="A37" t="s">
        <v>856</v>
      </c>
      <c r="B37">
        <v>21</v>
      </c>
      <c r="C37" t="s">
        <v>1039</v>
      </c>
      <c r="D37" t="s">
        <v>1038</v>
      </c>
      <c r="E37">
        <v>0.433</v>
      </c>
      <c r="F37">
        <v>48</v>
      </c>
      <c r="G37">
        <v>4</v>
      </c>
      <c r="H37">
        <v>7</v>
      </c>
      <c r="I37">
        <v>54</v>
      </c>
      <c r="J37" t="s">
        <v>857</v>
      </c>
      <c r="K37">
        <v>898310</v>
      </c>
      <c r="L37">
        <v>1.1111111111111112</v>
      </c>
    </row>
    <row r="38" spans="1:12" x14ac:dyDescent="0.2">
      <c r="A38" t="s">
        <v>878</v>
      </c>
      <c r="B38">
        <v>23</v>
      </c>
      <c r="C38" t="s">
        <v>1039</v>
      </c>
      <c r="D38" t="s">
        <v>1038</v>
      </c>
      <c r="E38">
        <v>0.54500000000000004</v>
      </c>
      <c r="F38">
        <v>112</v>
      </c>
      <c r="G38">
        <v>14</v>
      </c>
      <c r="H38">
        <v>18</v>
      </c>
      <c r="I38">
        <v>226</v>
      </c>
      <c r="J38" t="s">
        <v>879</v>
      </c>
      <c r="K38">
        <v>700000</v>
      </c>
      <c r="L38">
        <v>0.96551724137931039</v>
      </c>
    </row>
    <row r="39" spans="1:12" x14ac:dyDescent="0.2">
      <c r="A39" t="s">
        <v>960</v>
      </c>
      <c r="B39">
        <v>22</v>
      </c>
      <c r="C39" t="s">
        <v>1039</v>
      </c>
      <c r="D39" t="s">
        <v>1038</v>
      </c>
      <c r="E39">
        <v>0.42099999999999999</v>
      </c>
      <c r="F39">
        <v>24</v>
      </c>
      <c r="G39">
        <v>5</v>
      </c>
      <c r="H39">
        <v>8</v>
      </c>
      <c r="I39">
        <v>57</v>
      </c>
      <c r="J39" t="s">
        <v>961</v>
      </c>
      <c r="K39">
        <v>449155</v>
      </c>
      <c r="L39">
        <v>4</v>
      </c>
    </row>
    <row r="40" spans="1:12" x14ac:dyDescent="0.2">
      <c r="A40" t="s">
        <v>902</v>
      </c>
      <c r="B40">
        <v>21</v>
      </c>
      <c r="C40" t="s">
        <v>1039</v>
      </c>
      <c r="D40" t="s">
        <v>1038</v>
      </c>
      <c r="E40">
        <v>0.54500000000000004</v>
      </c>
      <c r="F40">
        <v>383</v>
      </c>
      <c r="G40">
        <v>31</v>
      </c>
      <c r="H40">
        <v>47</v>
      </c>
      <c r="I40">
        <v>370</v>
      </c>
      <c r="J40" t="s">
        <v>903</v>
      </c>
      <c r="K40">
        <v>449155</v>
      </c>
      <c r="L40">
        <v>0.23255813953488372</v>
      </c>
    </row>
    <row r="41" spans="1:12" x14ac:dyDescent="0.2">
      <c r="A41" t="s">
        <v>90</v>
      </c>
      <c r="B41">
        <v>30</v>
      </c>
      <c r="C41" t="s">
        <v>1041</v>
      </c>
      <c r="D41" t="s">
        <v>1038</v>
      </c>
      <c r="E41">
        <v>0.54</v>
      </c>
      <c r="F41">
        <v>817</v>
      </c>
      <c r="G41">
        <v>65</v>
      </c>
      <c r="H41">
        <v>48</v>
      </c>
      <c r="I41">
        <v>1639</v>
      </c>
      <c r="J41" t="s">
        <v>91</v>
      </c>
      <c r="K41">
        <v>26000000</v>
      </c>
      <c r="L41">
        <v>2.1349206349206349</v>
      </c>
    </row>
    <row r="42" spans="1:12" x14ac:dyDescent="0.2">
      <c r="A42" t="s">
        <v>94</v>
      </c>
      <c r="B42">
        <v>35</v>
      </c>
      <c r="C42" t="s">
        <v>1041</v>
      </c>
      <c r="D42" t="s">
        <v>1038</v>
      </c>
      <c r="E42">
        <v>0.52500000000000002</v>
      </c>
      <c r="F42">
        <v>118</v>
      </c>
      <c r="G42">
        <v>11</v>
      </c>
      <c r="H42">
        <v>29</v>
      </c>
      <c r="I42">
        <v>352</v>
      </c>
      <c r="J42" t="s">
        <v>95</v>
      </c>
      <c r="K42">
        <v>24000000</v>
      </c>
      <c r="L42">
        <v>1.8148148148148149</v>
      </c>
    </row>
    <row r="43" spans="1:12" x14ac:dyDescent="0.2">
      <c r="A43" t="s">
        <v>368</v>
      </c>
      <c r="B43">
        <v>21</v>
      </c>
      <c r="C43" t="s">
        <v>1041</v>
      </c>
      <c r="D43" t="s">
        <v>1038</v>
      </c>
      <c r="E43">
        <v>0.52</v>
      </c>
      <c r="F43">
        <v>443</v>
      </c>
      <c r="G43">
        <v>35</v>
      </c>
      <c r="H43">
        <v>42</v>
      </c>
      <c r="I43">
        <v>606</v>
      </c>
      <c r="J43" t="s">
        <v>369</v>
      </c>
      <c r="K43">
        <v>5448840</v>
      </c>
      <c r="L43">
        <v>1.3333333333333333</v>
      </c>
    </row>
    <row r="44" spans="1:12" x14ac:dyDescent="0.2">
      <c r="A44" t="s">
        <v>392</v>
      </c>
      <c r="B44">
        <v>28</v>
      </c>
      <c r="C44" t="s">
        <v>1041</v>
      </c>
      <c r="D44" t="s">
        <v>1038</v>
      </c>
      <c r="E44">
        <v>0.59299999999999997</v>
      </c>
      <c r="F44">
        <v>356</v>
      </c>
      <c r="G44">
        <v>41</v>
      </c>
      <c r="H44">
        <v>57</v>
      </c>
      <c r="I44">
        <v>627</v>
      </c>
      <c r="J44" t="s">
        <v>393</v>
      </c>
      <c r="K44">
        <v>5000000</v>
      </c>
      <c r="L44">
        <v>1.6363636363636365</v>
      </c>
    </row>
    <row r="45" spans="1:12" x14ac:dyDescent="0.2">
      <c r="A45" t="s">
        <v>428</v>
      </c>
      <c r="B45">
        <v>33</v>
      </c>
      <c r="C45" t="s">
        <v>1041</v>
      </c>
      <c r="D45" t="s">
        <v>1038</v>
      </c>
      <c r="E45">
        <v>0.52</v>
      </c>
      <c r="F45">
        <v>239</v>
      </c>
      <c r="G45">
        <v>19</v>
      </c>
      <c r="H45">
        <v>54</v>
      </c>
      <c r="I45">
        <v>337</v>
      </c>
      <c r="J45" t="s">
        <v>429</v>
      </c>
      <c r="K45">
        <v>4200000</v>
      </c>
      <c r="L45">
        <v>0.65</v>
      </c>
    </row>
    <row r="46" spans="1:12" x14ac:dyDescent="0.2">
      <c r="A46" t="s">
        <v>458</v>
      </c>
      <c r="B46">
        <v>22</v>
      </c>
      <c r="C46" t="s">
        <v>1041</v>
      </c>
      <c r="D46" t="s">
        <v>1038</v>
      </c>
      <c r="E46">
        <v>0.624</v>
      </c>
      <c r="F46">
        <v>631</v>
      </c>
      <c r="G46">
        <v>32</v>
      </c>
      <c r="H46">
        <v>90</v>
      </c>
      <c r="I46">
        <v>806</v>
      </c>
      <c r="J46" t="s">
        <v>459</v>
      </c>
      <c r="K46">
        <v>3909902</v>
      </c>
      <c r="L46">
        <v>1.06</v>
      </c>
    </row>
    <row r="47" spans="1:12" x14ac:dyDescent="0.2">
      <c r="A47" t="s">
        <v>488</v>
      </c>
      <c r="B47">
        <v>23</v>
      </c>
      <c r="C47" t="s">
        <v>1041</v>
      </c>
      <c r="D47" t="s">
        <v>1038</v>
      </c>
      <c r="E47">
        <v>0.66500000000000004</v>
      </c>
      <c r="F47">
        <v>239</v>
      </c>
      <c r="G47">
        <v>15</v>
      </c>
      <c r="H47">
        <v>30</v>
      </c>
      <c r="I47">
        <v>300</v>
      </c>
      <c r="J47" t="s">
        <v>489</v>
      </c>
      <c r="K47">
        <v>3542060</v>
      </c>
      <c r="L47">
        <v>1.1212121212121211</v>
      </c>
    </row>
    <row r="48" spans="1:12" x14ac:dyDescent="0.2">
      <c r="A48" t="s">
        <v>526</v>
      </c>
      <c r="B48">
        <v>28</v>
      </c>
      <c r="C48" t="s">
        <v>1041</v>
      </c>
      <c r="D48" t="s">
        <v>1038</v>
      </c>
      <c r="E48">
        <v>0.51400000000000001</v>
      </c>
      <c r="F48">
        <v>387</v>
      </c>
      <c r="G48">
        <v>48</v>
      </c>
      <c r="H48">
        <v>50</v>
      </c>
      <c r="I48">
        <v>482</v>
      </c>
      <c r="J48" t="s">
        <v>527</v>
      </c>
      <c r="K48">
        <v>3000000</v>
      </c>
      <c r="L48">
        <v>2.0227272727272729</v>
      </c>
    </row>
    <row r="49" spans="1:12" x14ac:dyDescent="0.2">
      <c r="A49" t="s">
        <v>584</v>
      </c>
      <c r="B49">
        <v>25</v>
      </c>
      <c r="C49" t="s">
        <v>1041</v>
      </c>
      <c r="D49" t="s">
        <v>1038</v>
      </c>
      <c r="E49">
        <v>0.51</v>
      </c>
      <c r="F49">
        <v>67</v>
      </c>
      <c r="G49">
        <v>4</v>
      </c>
      <c r="H49">
        <v>32</v>
      </c>
      <c r="I49">
        <v>106</v>
      </c>
      <c r="J49" t="s">
        <v>585</v>
      </c>
      <c r="K49">
        <v>2250000</v>
      </c>
      <c r="L49">
        <v>3.4285714285714284</v>
      </c>
    </row>
    <row r="50" spans="1:12" x14ac:dyDescent="0.2">
      <c r="A50" t="s">
        <v>746</v>
      </c>
      <c r="B50">
        <v>22</v>
      </c>
      <c r="C50" t="s">
        <v>1041</v>
      </c>
      <c r="D50" t="s">
        <v>1038</v>
      </c>
      <c r="E50">
        <v>0.55600000000000005</v>
      </c>
      <c r="F50">
        <v>181</v>
      </c>
      <c r="G50">
        <v>19</v>
      </c>
      <c r="H50">
        <v>39</v>
      </c>
      <c r="I50">
        <v>236</v>
      </c>
      <c r="J50" t="s">
        <v>747</v>
      </c>
      <c r="K50">
        <v>1620564</v>
      </c>
      <c r="L50">
        <v>1.25</v>
      </c>
    </row>
    <row r="51" spans="1:12" x14ac:dyDescent="0.2">
      <c r="A51" t="s">
        <v>782</v>
      </c>
      <c r="B51">
        <v>22</v>
      </c>
      <c r="C51" t="s">
        <v>1041</v>
      </c>
      <c r="D51" t="s">
        <v>1038</v>
      </c>
      <c r="E51">
        <v>0.68400000000000005</v>
      </c>
      <c r="F51">
        <v>231</v>
      </c>
      <c r="G51">
        <v>26</v>
      </c>
      <c r="H51">
        <v>75</v>
      </c>
      <c r="I51">
        <v>380</v>
      </c>
      <c r="J51" t="s">
        <v>783</v>
      </c>
      <c r="K51">
        <v>1517981</v>
      </c>
      <c r="L51">
        <v>0.70731707317073167</v>
      </c>
    </row>
    <row r="52" spans="1:12" x14ac:dyDescent="0.2">
      <c r="A52" t="s">
        <v>836</v>
      </c>
      <c r="B52">
        <v>27</v>
      </c>
      <c r="C52" t="s">
        <v>1041</v>
      </c>
      <c r="D52" t="s">
        <v>1038</v>
      </c>
      <c r="E52">
        <v>0.629</v>
      </c>
      <c r="F52">
        <v>260</v>
      </c>
      <c r="G52">
        <v>20</v>
      </c>
      <c r="H52">
        <v>64</v>
      </c>
      <c r="I52">
        <v>423</v>
      </c>
      <c r="J52" t="s">
        <v>837</v>
      </c>
      <c r="K52">
        <v>1265372</v>
      </c>
      <c r="L52">
        <v>0.89090909090909087</v>
      </c>
    </row>
    <row r="53" spans="1:12" x14ac:dyDescent="0.2">
      <c r="A53" t="s">
        <v>844</v>
      </c>
      <c r="B53">
        <v>31</v>
      </c>
      <c r="C53" t="s">
        <v>1041</v>
      </c>
      <c r="D53" t="s">
        <v>1038</v>
      </c>
      <c r="E53">
        <v>0.61299999999999999</v>
      </c>
      <c r="F53">
        <v>140</v>
      </c>
      <c r="G53">
        <v>26</v>
      </c>
      <c r="H53">
        <v>16</v>
      </c>
      <c r="I53">
        <v>258</v>
      </c>
      <c r="J53" t="s">
        <v>845</v>
      </c>
      <c r="K53">
        <v>1000000</v>
      </c>
      <c r="L53">
        <v>1.5</v>
      </c>
    </row>
    <row r="54" spans="1:12" x14ac:dyDescent="0.2">
      <c r="A54" t="s">
        <v>870</v>
      </c>
      <c r="B54">
        <v>27</v>
      </c>
      <c r="C54" t="s">
        <v>1041</v>
      </c>
      <c r="D54" t="s">
        <v>1038</v>
      </c>
      <c r="E54">
        <v>0.49299999999999999</v>
      </c>
      <c r="F54">
        <v>551</v>
      </c>
      <c r="G54">
        <v>63</v>
      </c>
      <c r="H54">
        <v>49</v>
      </c>
      <c r="I54">
        <v>687</v>
      </c>
      <c r="J54" t="s">
        <v>871</v>
      </c>
      <c r="K54">
        <v>794536</v>
      </c>
      <c r="L54">
        <v>0.75806451612903225</v>
      </c>
    </row>
    <row r="55" spans="1:12" x14ac:dyDescent="0.2">
      <c r="A55" t="s">
        <v>888</v>
      </c>
      <c r="B55">
        <v>27</v>
      </c>
      <c r="C55" t="s">
        <v>1041</v>
      </c>
      <c r="D55" t="s">
        <v>1038</v>
      </c>
      <c r="E55">
        <v>0.53300000000000003</v>
      </c>
      <c r="F55">
        <v>19</v>
      </c>
      <c r="G55">
        <v>1</v>
      </c>
      <c r="H55">
        <v>9</v>
      </c>
      <c r="I55">
        <v>20</v>
      </c>
      <c r="J55" t="s">
        <v>889</v>
      </c>
      <c r="K55">
        <v>500000</v>
      </c>
      <c r="L55">
        <v>0.66666666666666663</v>
      </c>
    </row>
    <row r="56" spans="1:12" x14ac:dyDescent="0.2">
      <c r="A56" t="s">
        <v>914</v>
      </c>
      <c r="B56">
        <v>26</v>
      </c>
      <c r="C56" t="s">
        <v>1041</v>
      </c>
      <c r="D56" t="s">
        <v>1038</v>
      </c>
      <c r="E56">
        <v>0.318</v>
      </c>
      <c r="F56">
        <v>24</v>
      </c>
      <c r="G56">
        <v>3</v>
      </c>
      <c r="H56">
        <v>5</v>
      </c>
      <c r="I56">
        <v>15</v>
      </c>
      <c r="J56" t="s">
        <v>915</v>
      </c>
      <c r="K56">
        <v>449155</v>
      </c>
      <c r="L56">
        <v>1.75</v>
      </c>
    </row>
    <row r="57" spans="1:12" x14ac:dyDescent="0.2">
      <c r="A57" t="s">
        <v>1006</v>
      </c>
      <c r="B57">
        <v>25</v>
      </c>
      <c r="C57" t="s">
        <v>1041</v>
      </c>
      <c r="D57" t="s">
        <v>1038</v>
      </c>
      <c r="E57">
        <v>0.68400000000000005</v>
      </c>
      <c r="F57">
        <v>121</v>
      </c>
      <c r="G57">
        <v>11</v>
      </c>
      <c r="H57">
        <v>29</v>
      </c>
      <c r="I57">
        <v>183</v>
      </c>
      <c r="J57" t="s">
        <v>1007</v>
      </c>
      <c r="K57">
        <v>237965</v>
      </c>
      <c r="L57">
        <v>1.1153846153846154</v>
      </c>
    </row>
    <row r="58" spans="1:12" x14ac:dyDescent="0.2">
      <c r="A58" t="s">
        <v>1008</v>
      </c>
      <c r="B58">
        <v>30</v>
      </c>
      <c r="C58" t="s">
        <v>1041</v>
      </c>
      <c r="D58" t="s">
        <v>1038</v>
      </c>
      <c r="E58">
        <v>0.503</v>
      </c>
      <c r="F58">
        <v>263</v>
      </c>
      <c r="G58">
        <v>34</v>
      </c>
      <c r="H58">
        <v>24</v>
      </c>
      <c r="I58">
        <v>366</v>
      </c>
      <c r="J58" t="s">
        <v>1009</v>
      </c>
      <c r="K58">
        <v>233095</v>
      </c>
      <c r="L58">
        <v>1.1875</v>
      </c>
    </row>
    <row r="59" spans="1:12" x14ac:dyDescent="0.2">
      <c r="A59" t="s">
        <v>1010</v>
      </c>
      <c r="B59">
        <v>23</v>
      </c>
      <c r="C59" t="s">
        <v>1041</v>
      </c>
      <c r="D59" t="s">
        <v>1038</v>
      </c>
      <c r="E59">
        <v>0.52200000000000002</v>
      </c>
      <c r="F59">
        <v>146</v>
      </c>
      <c r="G59">
        <v>26</v>
      </c>
      <c r="H59">
        <v>18</v>
      </c>
      <c r="I59">
        <v>310</v>
      </c>
      <c r="J59" t="s">
        <v>1011</v>
      </c>
      <c r="K59">
        <v>221995</v>
      </c>
      <c r="L59">
        <v>1.1627906976744187</v>
      </c>
    </row>
    <row r="60" spans="1:12" x14ac:dyDescent="0.2">
      <c r="A60" t="s">
        <v>58</v>
      </c>
      <c r="B60">
        <v>26</v>
      </c>
      <c r="C60" t="s">
        <v>1040</v>
      </c>
      <c r="D60" t="s">
        <v>1038</v>
      </c>
      <c r="E60">
        <v>0.54500000000000004</v>
      </c>
      <c r="F60">
        <v>539</v>
      </c>
      <c r="G60">
        <v>50</v>
      </c>
      <c r="H60">
        <v>69</v>
      </c>
      <c r="I60">
        <v>1451</v>
      </c>
      <c r="J60" t="s">
        <v>59</v>
      </c>
      <c r="K60">
        <v>29542010</v>
      </c>
      <c r="L60">
        <v>0.91194968553459121</v>
      </c>
    </row>
    <row r="61" spans="1:12" x14ac:dyDescent="0.2">
      <c r="A61" t="s">
        <v>126</v>
      </c>
      <c r="B61">
        <v>24</v>
      </c>
      <c r="C61" t="s">
        <v>1040</v>
      </c>
      <c r="D61" t="s">
        <v>1038</v>
      </c>
      <c r="E61">
        <v>0.55700000000000005</v>
      </c>
      <c r="F61">
        <v>306</v>
      </c>
      <c r="G61">
        <v>40</v>
      </c>
      <c r="H61">
        <v>159</v>
      </c>
      <c r="I61">
        <v>592</v>
      </c>
      <c r="J61" t="s">
        <v>127</v>
      </c>
      <c r="K61">
        <v>18000000</v>
      </c>
      <c r="L61">
        <v>0.71641791044776115</v>
      </c>
    </row>
    <row r="62" spans="1:12" x14ac:dyDescent="0.2">
      <c r="A62" t="s">
        <v>150</v>
      </c>
      <c r="B62">
        <v>26</v>
      </c>
      <c r="C62" t="s">
        <v>1040</v>
      </c>
      <c r="D62" t="s">
        <v>1038</v>
      </c>
      <c r="E62">
        <v>0.59399999999999997</v>
      </c>
      <c r="F62">
        <v>903</v>
      </c>
      <c r="G62">
        <v>44</v>
      </c>
      <c r="H62">
        <v>129</v>
      </c>
      <c r="I62">
        <v>956</v>
      </c>
      <c r="J62" t="s">
        <v>151</v>
      </c>
      <c r="K62">
        <v>16000000</v>
      </c>
      <c r="L62">
        <v>0.67123287671232879</v>
      </c>
    </row>
    <row r="63" spans="1:12" x14ac:dyDescent="0.2">
      <c r="A63" t="s">
        <v>152</v>
      </c>
      <c r="B63">
        <v>28</v>
      </c>
      <c r="C63" t="s">
        <v>1040</v>
      </c>
      <c r="D63" t="s">
        <v>1038</v>
      </c>
      <c r="E63">
        <v>0.56499999999999995</v>
      </c>
      <c r="F63">
        <v>328</v>
      </c>
      <c r="G63">
        <v>27</v>
      </c>
      <c r="H63">
        <v>17</v>
      </c>
      <c r="I63">
        <v>451</v>
      </c>
      <c r="J63" t="s">
        <v>153</v>
      </c>
      <c r="K63">
        <v>15415730</v>
      </c>
      <c r="L63">
        <v>1.6862745098039216</v>
      </c>
    </row>
    <row r="64" spans="1:12" x14ac:dyDescent="0.2">
      <c r="A64" t="s">
        <v>194</v>
      </c>
      <c r="B64">
        <v>32</v>
      </c>
      <c r="C64" t="s">
        <v>1040</v>
      </c>
      <c r="D64" t="s">
        <v>1038</v>
      </c>
      <c r="E64">
        <v>0.57699999999999996</v>
      </c>
      <c r="F64">
        <v>347</v>
      </c>
      <c r="G64">
        <v>40</v>
      </c>
      <c r="H64">
        <v>103</v>
      </c>
      <c r="I64">
        <v>859</v>
      </c>
      <c r="J64" t="s">
        <v>195</v>
      </c>
      <c r="K64">
        <v>12697674</v>
      </c>
      <c r="L64">
        <v>0.78125</v>
      </c>
    </row>
    <row r="65" spans="1:12" x14ac:dyDescent="0.2">
      <c r="A65" t="s">
        <v>232</v>
      </c>
      <c r="B65">
        <v>32</v>
      </c>
      <c r="C65" t="s">
        <v>1040</v>
      </c>
      <c r="D65" t="s">
        <v>1038</v>
      </c>
      <c r="E65">
        <v>0.76300000000000001</v>
      </c>
      <c r="F65">
        <v>427</v>
      </c>
      <c r="G65">
        <v>17</v>
      </c>
      <c r="H65">
        <v>65</v>
      </c>
      <c r="I65">
        <v>426</v>
      </c>
      <c r="J65" t="s">
        <v>233</v>
      </c>
      <c r="K65">
        <v>10375678</v>
      </c>
      <c r="L65">
        <v>1.0941176470588236</v>
      </c>
    </row>
    <row r="66" spans="1:12" x14ac:dyDescent="0.2">
      <c r="A66" t="s">
        <v>256</v>
      </c>
      <c r="B66">
        <v>28</v>
      </c>
      <c r="C66" t="s">
        <v>1040</v>
      </c>
      <c r="D66" t="s">
        <v>1038</v>
      </c>
      <c r="E66">
        <v>0.64300000000000002</v>
      </c>
      <c r="F66">
        <v>7</v>
      </c>
      <c r="G66">
        <v>0</v>
      </c>
      <c r="H66">
        <v>0</v>
      </c>
      <c r="I66">
        <v>10</v>
      </c>
      <c r="J66" t="s">
        <v>257</v>
      </c>
      <c r="K66">
        <v>9400000</v>
      </c>
      <c r="L66">
        <v>1</v>
      </c>
    </row>
    <row r="67" spans="1:12" x14ac:dyDescent="0.2">
      <c r="A67" t="s">
        <v>260</v>
      </c>
      <c r="B67">
        <v>29</v>
      </c>
      <c r="C67" t="s">
        <v>1040</v>
      </c>
      <c r="D67" t="s">
        <v>1038</v>
      </c>
      <c r="E67">
        <v>0.51800000000000002</v>
      </c>
      <c r="F67">
        <v>439</v>
      </c>
      <c r="G67">
        <v>24</v>
      </c>
      <c r="H67">
        <v>33</v>
      </c>
      <c r="I67">
        <v>409</v>
      </c>
      <c r="J67" t="s">
        <v>261</v>
      </c>
      <c r="K67">
        <v>9258000</v>
      </c>
      <c r="L67">
        <v>1.0806451612903225</v>
      </c>
    </row>
    <row r="68" spans="1:12" x14ac:dyDescent="0.2">
      <c r="A68" t="s">
        <v>286</v>
      </c>
      <c r="B68">
        <v>23</v>
      </c>
      <c r="C68" t="s">
        <v>1040</v>
      </c>
      <c r="D68" t="s">
        <v>1038</v>
      </c>
      <c r="E68">
        <v>0.69799999999999995</v>
      </c>
      <c r="F68">
        <v>61</v>
      </c>
      <c r="G68">
        <v>4</v>
      </c>
      <c r="H68">
        <v>8</v>
      </c>
      <c r="I68">
        <v>143</v>
      </c>
      <c r="J68" t="s">
        <v>287</v>
      </c>
      <c r="K68">
        <v>8333333</v>
      </c>
      <c r="L68">
        <v>1.3636363636363635</v>
      </c>
    </row>
    <row r="69" spans="1:12" x14ac:dyDescent="0.2">
      <c r="A69" t="s">
        <v>300</v>
      </c>
      <c r="B69">
        <v>30</v>
      </c>
      <c r="C69" t="s">
        <v>1040</v>
      </c>
      <c r="D69" t="s">
        <v>1038</v>
      </c>
      <c r="E69">
        <v>0.61399999999999999</v>
      </c>
      <c r="F69">
        <v>519</v>
      </c>
      <c r="G69">
        <v>43</v>
      </c>
      <c r="H69">
        <v>50</v>
      </c>
      <c r="I69">
        <v>581</v>
      </c>
      <c r="J69" t="s">
        <v>301</v>
      </c>
      <c r="K69">
        <v>8000000</v>
      </c>
      <c r="L69">
        <v>1.9238095238095239</v>
      </c>
    </row>
    <row r="70" spans="1:12" x14ac:dyDescent="0.2">
      <c r="A70" t="s">
        <v>310</v>
      </c>
      <c r="B70">
        <v>28</v>
      </c>
      <c r="C70" t="s">
        <v>1040</v>
      </c>
      <c r="D70" t="s">
        <v>1038</v>
      </c>
      <c r="E70">
        <v>0.53800000000000003</v>
      </c>
      <c r="F70">
        <v>26</v>
      </c>
      <c r="G70">
        <v>4</v>
      </c>
      <c r="H70">
        <v>0</v>
      </c>
      <c r="I70">
        <v>23</v>
      </c>
      <c r="J70" t="s">
        <v>311</v>
      </c>
      <c r="K70">
        <v>7529020</v>
      </c>
      <c r="L70">
        <v>2.25</v>
      </c>
    </row>
    <row r="71" spans="1:12" x14ac:dyDescent="0.2">
      <c r="A71" t="s">
        <v>318</v>
      </c>
      <c r="B71">
        <v>32</v>
      </c>
      <c r="C71" t="s">
        <v>1040</v>
      </c>
      <c r="D71" t="s">
        <v>1038</v>
      </c>
      <c r="E71">
        <v>0.63900000000000001</v>
      </c>
      <c r="F71">
        <v>272</v>
      </c>
      <c r="G71">
        <v>15</v>
      </c>
      <c r="H71">
        <v>44</v>
      </c>
      <c r="I71">
        <v>642</v>
      </c>
      <c r="J71" t="s">
        <v>319</v>
      </c>
      <c r="K71">
        <v>7300000</v>
      </c>
      <c r="L71">
        <v>0.73333333333333328</v>
      </c>
    </row>
    <row r="72" spans="1:12" x14ac:dyDescent="0.2">
      <c r="A72" t="s">
        <v>330</v>
      </c>
      <c r="B72">
        <v>34</v>
      </c>
      <c r="C72" t="s">
        <v>1040</v>
      </c>
      <c r="D72" t="s">
        <v>1038</v>
      </c>
      <c r="E72">
        <v>0.48499999999999999</v>
      </c>
      <c r="F72">
        <v>273</v>
      </c>
      <c r="G72">
        <v>17</v>
      </c>
      <c r="H72">
        <v>22</v>
      </c>
      <c r="I72">
        <v>324</v>
      </c>
      <c r="J72" t="s">
        <v>331</v>
      </c>
      <c r="K72">
        <v>7000000</v>
      </c>
      <c r="L72">
        <v>1.0217391304347827</v>
      </c>
    </row>
    <row r="73" spans="1:12" x14ac:dyDescent="0.2">
      <c r="A73" t="s">
        <v>332</v>
      </c>
      <c r="B73">
        <v>28</v>
      </c>
      <c r="C73" t="s">
        <v>1040</v>
      </c>
      <c r="D73" t="s">
        <v>1038</v>
      </c>
      <c r="E73">
        <v>0.59499999999999997</v>
      </c>
      <c r="F73">
        <v>404</v>
      </c>
      <c r="G73">
        <v>35</v>
      </c>
      <c r="H73">
        <v>111</v>
      </c>
      <c r="I73">
        <v>818</v>
      </c>
      <c r="J73" t="s">
        <v>333</v>
      </c>
      <c r="K73">
        <v>6750000</v>
      </c>
      <c r="L73">
        <v>1.3695652173913044</v>
      </c>
    </row>
    <row r="74" spans="1:12" x14ac:dyDescent="0.2">
      <c r="A74" t="s">
        <v>354</v>
      </c>
      <c r="B74">
        <v>22</v>
      </c>
      <c r="C74" t="s">
        <v>1040</v>
      </c>
      <c r="D74" t="s">
        <v>1038</v>
      </c>
      <c r="E74">
        <v>0.53500000000000003</v>
      </c>
      <c r="F74">
        <v>265</v>
      </c>
      <c r="G74">
        <v>14</v>
      </c>
      <c r="H74">
        <v>58</v>
      </c>
      <c r="I74">
        <v>367</v>
      </c>
      <c r="J74" t="s">
        <v>355</v>
      </c>
      <c r="K74">
        <v>5969040</v>
      </c>
      <c r="L74">
        <v>0.97222222222222221</v>
      </c>
    </row>
    <row r="75" spans="1:12" x14ac:dyDescent="0.2">
      <c r="A75" t="s">
        <v>356</v>
      </c>
      <c r="B75">
        <v>20</v>
      </c>
      <c r="C75" t="s">
        <v>1040</v>
      </c>
      <c r="D75" t="s">
        <v>1038</v>
      </c>
      <c r="E75">
        <v>0.64400000000000002</v>
      </c>
      <c r="F75">
        <v>163</v>
      </c>
      <c r="G75">
        <v>23</v>
      </c>
      <c r="H75">
        <v>33</v>
      </c>
      <c r="I75">
        <v>228</v>
      </c>
      <c r="J75" t="s">
        <v>357</v>
      </c>
      <c r="K75">
        <v>5813640</v>
      </c>
      <c r="L75">
        <v>0.62068965517241381</v>
      </c>
    </row>
    <row r="76" spans="1:12" x14ac:dyDescent="0.2">
      <c r="A76" t="s">
        <v>380</v>
      </c>
      <c r="B76">
        <v>23</v>
      </c>
      <c r="C76" t="s">
        <v>1040</v>
      </c>
      <c r="D76" t="s">
        <v>1038</v>
      </c>
      <c r="E76">
        <v>0.57099999999999995</v>
      </c>
      <c r="F76">
        <v>573</v>
      </c>
      <c r="G76">
        <v>75</v>
      </c>
      <c r="H76">
        <v>66</v>
      </c>
      <c r="I76">
        <v>1197</v>
      </c>
      <c r="J76" t="s">
        <v>381</v>
      </c>
      <c r="K76">
        <v>5115492</v>
      </c>
      <c r="L76">
        <v>2.0473372781065087</v>
      </c>
    </row>
    <row r="77" spans="1:12" x14ac:dyDescent="0.2">
      <c r="A77" t="s">
        <v>394</v>
      </c>
      <c r="B77">
        <v>26</v>
      </c>
      <c r="C77" t="s">
        <v>1040</v>
      </c>
      <c r="D77" t="s">
        <v>1038</v>
      </c>
      <c r="E77">
        <v>0.61399999999999999</v>
      </c>
      <c r="F77">
        <v>408</v>
      </c>
      <c r="G77">
        <v>70</v>
      </c>
      <c r="H77">
        <v>141</v>
      </c>
      <c r="I77">
        <v>324</v>
      </c>
      <c r="J77" t="s">
        <v>395</v>
      </c>
      <c r="K77">
        <v>5000000</v>
      </c>
      <c r="L77">
        <v>0.70769230769230773</v>
      </c>
    </row>
    <row r="78" spans="1:12" x14ac:dyDescent="0.2">
      <c r="A78" t="s">
        <v>480</v>
      </c>
      <c r="B78">
        <v>25</v>
      </c>
      <c r="C78" t="s">
        <v>1040</v>
      </c>
      <c r="D78" t="s">
        <v>1038</v>
      </c>
      <c r="E78">
        <v>0.58499999999999996</v>
      </c>
      <c r="F78">
        <v>466</v>
      </c>
      <c r="G78">
        <v>52</v>
      </c>
      <c r="H78">
        <v>26</v>
      </c>
      <c r="I78">
        <v>754</v>
      </c>
      <c r="J78" t="s">
        <v>481</v>
      </c>
      <c r="K78">
        <v>3623000</v>
      </c>
      <c r="L78">
        <v>1.2678571428571428</v>
      </c>
    </row>
    <row r="79" spans="1:12" x14ac:dyDescent="0.2">
      <c r="A79" t="s">
        <v>494</v>
      </c>
      <c r="B79">
        <v>28</v>
      </c>
      <c r="C79" t="s">
        <v>1040</v>
      </c>
      <c r="D79" t="s">
        <v>1038</v>
      </c>
      <c r="E79">
        <v>0.58699999999999997</v>
      </c>
      <c r="F79">
        <v>347</v>
      </c>
      <c r="G79">
        <v>17</v>
      </c>
      <c r="H79">
        <v>74</v>
      </c>
      <c r="I79">
        <v>331</v>
      </c>
      <c r="J79" t="s">
        <v>495</v>
      </c>
      <c r="K79">
        <v>3500000</v>
      </c>
      <c r="L79">
        <v>1.1408450704225352</v>
      </c>
    </row>
    <row r="80" spans="1:12" x14ac:dyDescent="0.2">
      <c r="A80" t="s">
        <v>512</v>
      </c>
      <c r="B80">
        <v>19</v>
      </c>
      <c r="C80" t="s">
        <v>1040</v>
      </c>
      <c r="D80" t="s">
        <v>1038</v>
      </c>
      <c r="E80">
        <v>0.57799999999999996</v>
      </c>
      <c r="F80">
        <v>453</v>
      </c>
      <c r="G80">
        <v>39</v>
      </c>
      <c r="H80">
        <v>86</v>
      </c>
      <c r="I80">
        <v>537</v>
      </c>
      <c r="J80" t="s">
        <v>513</v>
      </c>
      <c r="K80">
        <v>3121080</v>
      </c>
      <c r="L80">
        <v>0.88059701492537312</v>
      </c>
    </row>
    <row r="81" spans="1:12" x14ac:dyDescent="0.2">
      <c r="A81" t="s">
        <v>532</v>
      </c>
      <c r="B81">
        <v>21</v>
      </c>
      <c r="C81" t="s">
        <v>1040</v>
      </c>
      <c r="D81" t="s">
        <v>1038</v>
      </c>
      <c r="E81">
        <v>0.47899999999999998</v>
      </c>
      <c r="F81">
        <v>150</v>
      </c>
      <c r="G81">
        <v>9</v>
      </c>
      <c r="H81">
        <v>60</v>
      </c>
      <c r="I81">
        <v>231</v>
      </c>
      <c r="J81" t="s">
        <v>533</v>
      </c>
      <c r="K81">
        <v>2957520</v>
      </c>
      <c r="L81">
        <v>2.1764705882352939</v>
      </c>
    </row>
    <row r="82" spans="1:12" x14ac:dyDescent="0.2">
      <c r="A82" t="s">
        <v>608</v>
      </c>
      <c r="B82">
        <v>23</v>
      </c>
      <c r="C82" t="s">
        <v>1040</v>
      </c>
      <c r="D82" t="s">
        <v>1038</v>
      </c>
      <c r="E82">
        <v>0.72099999999999997</v>
      </c>
      <c r="F82">
        <v>358</v>
      </c>
      <c r="G82">
        <v>43</v>
      </c>
      <c r="H82">
        <v>91</v>
      </c>
      <c r="I82">
        <v>417</v>
      </c>
      <c r="J82" t="s">
        <v>609</v>
      </c>
      <c r="K82">
        <v>2029920</v>
      </c>
      <c r="L82">
        <v>1.8076923076923077</v>
      </c>
    </row>
    <row r="83" spans="1:12" x14ac:dyDescent="0.2">
      <c r="A83" t="s">
        <v>630</v>
      </c>
      <c r="B83">
        <v>25</v>
      </c>
      <c r="C83" t="s">
        <v>1040</v>
      </c>
      <c r="D83" t="s">
        <v>1038</v>
      </c>
      <c r="E83">
        <v>0.627</v>
      </c>
      <c r="F83">
        <v>66</v>
      </c>
      <c r="G83">
        <v>6</v>
      </c>
      <c r="H83">
        <v>5</v>
      </c>
      <c r="I83">
        <v>145</v>
      </c>
      <c r="J83" t="s">
        <v>631</v>
      </c>
      <c r="K83">
        <v>1882867</v>
      </c>
      <c r="L83">
        <v>0.61904761904761907</v>
      </c>
    </row>
    <row r="84" spans="1:12" x14ac:dyDescent="0.2">
      <c r="A84" t="s">
        <v>682</v>
      </c>
      <c r="B84">
        <v>22</v>
      </c>
      <c r="C84" t="s">
        <v>1040</v>
      </c>
      <c r="D84" t="s">
        <v>1038</v>
      </c>
      <c r="E84">
        <v>0.65300000000000002</v>
      </c>
      <c r="F84">
        <v>252</v>
      </c>
      <c r="G84">
        <v>35</v>
      </c>
      <c r="H84">
        <v>45</v>
      </c>
      <c r="I84">
        <v>256</v>
      </c>
      <c r="J84" t="s">
        <v>683</v>
      </c>
      <c r="K84">
        <v>1663861</v>
      </c>
      <c r="L84">
        <v>0.65384615384615385</v>
      </c>
    </row>
    <row r="85" spans="1:12" x14ac:dyDescent="0.2">
      <c r="A85" t="s">
        <v>716</v>
      </c>
      <c r="B85">
        <v>40</v>
      </c>
      <c r="C85" t="s">
        <v>1040</v>
      </c>
      <c r="D85" t="s">
        <v>1038</v>
      </c>
      <c r="E85">
        <v>1</v>
      </c>
      <c r="F85">
        <v>1</v>
      </c>
      <c r="G85">
        <v>0</v>
      </c>
      <c r="H85">
        <v>0</v>
      </c>
      <c r="I85">
        <v>4</v>
      </c>
      <c r="J85" t="s">
        <v>717</v>
      </c>
      <c r="K85">
        <v>1620564</v>
      </c>
      <c r="L85">
        <v>0</v>
      </c>
    </row>
    <row r="86" spans="1:12" x14ac:dyDescent="0.2">
      <c r="A86" t="s">
        <v>744</v>
      </c>
      <c r="B86">
        <v>23</v>
      </c>
      <c r="C86" t="s">
        <v>1040</v>
      </c>
      <c r="D86" t="s">
        <v>1038</v>
      </c>
      <c r="E86">
        <v>0.55600000000000005</v>
      </c>
      <c r="F86">
        <v>18</v>
      </c>
      <c r="G86">
        <v>2</v>
      </c>
      <c r="H86">
        <v>4</v>
      </c>
      <c r="I86">
        <v>30</v>
      </c>
      <c r="J86" t="s">
        <v>745</v>
      </c>
      <c r="K86">
        <v>1620564</v>
      </c>
      <c r="L86">
        <v>1.3333333333333333</v>
      </c>
    </row>
    <row r="87" spans="1:12" x14ac:dyDescent="0.2">
      <c r="A87" t="s">
        <v>726</v>
      </c>
      <c r="B87">
        <v>35</v>
      </c>
      <c r="C87" t="s">
        <v>1040</v>
      </c>
      <c r="D87" t="s">
        <v>1038</v>
      </c>
      <c r="E87">
        <v>0.59599999999999997</v>
      </c>
      <c r="F87">
        <v>580</v>
      </c>
      <c r="G87">
        <v>30</v>
      </c>
      <c r="H87">
        <v>62</v>
      </c>
      <c r="I87">
        <v>482</v>
      </c>
      <c r="J87" t="s">
        <v>727</v>
      </c>
      <c r="K87">
        <v>1620564</v>
      </c>
      <c r="L87">
        <v>0.5446428571428571</v>
      </c>
    </row>
    <row r="88" spans="1:12" x14ac:dyDescent="0.2">
      <c r="A88" t="s">
        <v>754</v>
      </c>
      <c r="B88">
        <v>25</v>
      </c>
      <c r="C88" t="s">
        <v>1040</v>
      </c>
      <c r="D88" t="s">
        <v>1038</v>
      </c>
      <c r="E88">
        <v>0</v>
      </c>
      <c r="F88">
        <v>1</v>
      </c>
      <c r="G88">
        <v>0</v>
      </c>
      <c r="H88">
        <v>0</v>
      </c>
      <c r="I88">
        <v>0</v>
      </c>
      <c r="J88" t="s">
        <v>755</v>
      </c>
      <c r="K88">
        <v>1517981</v>
      </c>
      <c r="L88">
        <v>0.2</v>
      </c>
    </row>
    <row r="89" spans="1:12" x14ac:dyDescent="0.2">
      <c r="A89" t="s">
        <v>802</v>
      </c>
      <c r="B89">
        <v>21</v>
      </c>
      <c r="C89" t="s">
        <v>1040</v>
      </c>
      <c r="D89" t="s">
        <v>1038</v>
      </c>
      <c r="E89">
        <v>0.624</v>
      </c>
      <c r="F89">
        <v>166</v>
      </c>
      <c r="G89">
        <v>23</v>
      </c>
      <c r="H89">
        <v>40</v>
      </c>
      <c r="I89">
        <v>212</v>
      </c>
      <c r="J89" t="s">
        <v>803</v>
      </c>
      <c r="K89">
        <v>1517981</v>
      </c>
      <c r="L89">
        <v>1.5555555555555556</v>
      </c>
    </row>
    <row r="90" spans="1:12" x14ac:dyDescent="0.2">
      <c r="A90" t="s">
        <v>794</v>
      </c>
      <c r="B90">
        <v>22</v>
      </c>
      <c r="C90" t="s">
        <v>1040</v>
      </c>
      <c r="D90" t="s">
        <v>1038</v>
      </c>
      <c r="E90">
        <v>0.40899999999999997</v>
      </c>
      <c r="F90">
        <v>78</v>
      </c>
      <c r="G90">
        <v>4</v>
      </c>
      <c r="H90">
        <v>3</v>
      </c>
      <c r="I90">
        <v>51</v>
      </c>
      <c r="J90" t="s">
        <v>795</v>
      </c>
      <c r="K90">
        <v>1517981</v>
      </c>
      <c r="L90">
        <v>0.47619047619047616</v>
      </c>
    </row>
    <row r="91" spans="1:12" x14ac:dyDescent="0.2">
      <c r="A91" t="s">
        <v>822</v>
      </c>
      <c r="B91">
        <v>35</v>
      </c>
      <c r="C91" t="s">
        <v>1040</v>
      </c>
      <c r="D91" t="s">
        <v>1038</v>
      </c>
      <c r="E91">
        <v>0.63600000000000001</v>
      </c>
      <c r="F91">
        <v>250</v>
      </c>
      <c r="G91">
        <v>31</v>
      </c>
      <c r="H91">
        <v>49</v>
      </c>
      <c r="I91">
        <v>241</v>
      </c>
      <c r="J91" t="s">
        <v>823</v>
      </c>
      <c r="K91">
        <v>1442968</v>
      </c>
      <c r="L91">
        <v>1.6363636363636365</v>
      </c>
    </row>
    <row r="92" spans="1:12" x14ac:dyDescent="0.2">
      <c r="A92" t="s">
        <v>826</v>
      </c>
      <c r="B92">
        <v>19</v>
      </c>
      <c r="C92" t="s">
        <v>1040</v>
      </c>
      <c r="D92" t="s">
        <v>1038</v>
      </c>
      <c r="E92">
        <v>0.51400000000000001</v>
      </c>
      <c r="F92">
        <v>27</v>
      </c>
      <c r="G92">
        <v>1</v>
      </c>
      <c r="H92">
        <v>5</v>
      </c>
      <c r="I92">
        <v>46</v>
      </c>
      <c r="J92" t="s">
        <v>827</v>
      </c>
      <c r="K92">
        <v>1350000</v>
      </c>
      <c r="L92">
        <v>0.4</v>
      </c>
    </row>
    <row r="93" spans="1:12" x14ac:dyDescent="0.2">
      <c r="A93" t="s">
        <v>838</v>
      </c>
      <c r="B93">
        <v>25</v>
      </c>
      <c r="C93" t="s">
        <v>1040</v>
      </c>
      <c r="D93" t="s">
        <v>1038</v>
      </c>
      <c r="E93">
        <v>0</v>
      </c>
      <c r="F93">
        <v>1</v>
      </c>
      <c r="G93">
        <v>0</v>
      </c>
      <c r="H93">
        <v>0</v>
      </c>
      <c r="I93">
        <v>0</v>
      </c>
      <c r="J93" t="s">
        <v>839</v>
      </c>
      <c r="K93">
        <v>1087776</v>
      </c>
      <c r="L93">
        <v>0.5</v>
      </c>
    </row>
    <row r="94" spans="1:12" x14ac:dyDescent="0.2">
      <c r="A94" t="s">
        <v>918</v>
      </c>
      <c r="B94">
        <v>26</v>
      </c>
      <c r="C94" t="s">
        <v>1040</v>
      </c>
      <c r="D94" t="s">
        <v>1038</v>
      </c>
      <c r="E94">
        <v>0.625</v>
      </c>
      <c r="F94">
        <v>8</v>
      </c>
      <c r="G94">
        <v>0</v>
      </c>
      <c r="H94">
        <v>5</v>
      </c>
      <c r="I94">
        <v>13</v>
      </c>
      <c r="J94" t="s">
        <v>919</v>
      </c>
      <c r="K94">
        <v>449155</v>
      </c>
      <c r="L94">
        <v>0.25</v>
      </c>
    </row>
    <row r="95" spans="1:12" x14ac:dyDescent="0.2">
      <c r="A95" t="s">
        <v>980</v>
      </c>
      <c r="B95">
        <v>25</v>
      </c>
      <c r="C95" t="s">
        <v>1040</v>
      </c>
      <c r="D95" t="s">
        <v>1038</v>
      </c>
      <c r="E95">
        <v>0.72399999999999998</v>
      </c>
      <c r="F95">
        <v>52</v>
      </c>
      <c r="G95">
        <v>1</v>
      </c>
      <c r="H95">
        <v>20</v>
      </c>
      <c r="I95">
        <v>47</v>
      </c>
      <c r="J95" t="s">
        <v>981</v>
      </c>
      <c r="K95">
        <v>449155</v>
      </c>
      <c r="L95">
        <v>0.5</v>
      </c>
    </row>
    <row r="96" spans="1:12" x14ac:dyDescent="0.2">
      <c r="A96" t="s">
        <v>986</v>
      </c>
      <c r="B96">
        <v>31</v>
      </c>
      <c r="C96" t="s">
        <v>1040</v>
      </c>
      <c r="D96" t="s">
        <v>1038</v>
      </c>
      <c r="E96">
        <v>0.71499999999999997</v>
      </c>
      <c r="F96">
        <v>86</v>
      </c>
      <c r="G96">
        <v>9</v>
      </c>
      <c r="H96">
        <v>6</v>
      </c>
      <c r="I96">
        <v>113</v>
      </c>
      <c r="J96" t="s">
        <v>987</v>
      </c>
      <c r="K96">
        <v>432890</v>
      </c>
      <c r="L96">
        <v>0.92307692307692313</v>
      </c>
    </row>
    <row r="97" spans="1:12" x14ac:dyDescent="0.2">
      <c r="A97" t="s">
        <v>24</v>
      </c>
      <c r="B97">
        <v>30</v>
      </c>
      <c r="C97" t="s">
        <v>1039</v>
      </c>
      <c r="D97" t="s">
        <v>1037</v>
      </c>
      <c r="E97">
        <v>0.55700000000000005</v>
      </c>
      <c r="F97">
        <v>359</v>
      </c>
      <c r="G97">
        <v>62</v>
      </c>
      <c r="H97">
        <v>24</v>
      </c>
      <c r="I97">
        <v>1259</v>
      </c>
      <c r="J97" t="s">
        <v>25</v>
      </c>
      <c r="K97">
        <v>35450412</v>
      </c>
      <c r="L97">
        <v>1.5642458100558658</v>
      </c>
    </row>
    <row r="98" spans="1:12" x14ac:dyDescent="0.2">
      <c r="A98" t="s">
        <v>32</v>
      </c>
      <c r="B98">
        <v>29</v>
      </c>
      <c r="C98" t="s">
        <v>1039</v>
      </c>
      <c r="D98" t="s">
        <v>1037</v>
      </c>
      <c r="E98">
        <v>0.56799999999999995</v>
      </c>
      <c r="F98">
        <v>337</v>
      </c>
      <c r="G98">
        <v>81</v>
      </c>
      <c r="H98">
        <v>21</v>
      </c>
      <c r="I98">
        <v>1292</v>
      </c>
      <c r="J98" t="s">
        <v>33</v>
      </c>
      <c r="K98">
        <v>34379100</v>
      </c>
      <c r="L98">
        <v>2.5619047619047617</v>
      </c>
    </row>
    <row r="99" spans="1:12" x14ac:dyDescent="0.2">
      <c r="A99" t="s">
        <v>38</v>
      </c>
      <c r="B99">
        <v>27</v>
      </c>
      <c r="C99" t="s">
        <v>1039</v>
      </c>
      <c r="D99" t="s">
        <v>1037</v>
      </c>
      <c r="E99">
        <v>0.51200000000000001</v>
      </c>
      <c r="F99">
        <v>286</v>
      </c>
      <c r="G99">
        <v>45</v>
      </c>
      <c r="H99">
        <v>59</v>
      </c>
      <c r="I99">
        <v>786</v>
      </c>
      <c r="J99" t="s">
        <v>39</v>
      </c>
      <c r="K99">
        <v>32742000</v>
      </c>
      <c r="L99">
        <v>1.4864864864864864</v>
      </c>
    </row>
    <row r="100" spans="1:12" x14ac:dyDescent="0.2">
      <c r="A100" t="s">
        <v>54</v>
      </c>
      <c r="B100">
        <v>25</v>
      </c>
      <c r="C100" t="s">
        <v>1039</v>
      </c>
      <c r="D100" t="s">
        <v>1037</v>
      </c>
      <c r="E100">
        <v>0.54300000000000004</v>
      </c>
      <c r="F100">
        <v>347</v>
      </c>
      <c r="G100">
        <v>67</v>
      </c>
      <c r="H100">
        <v>70</v>
      </c>
      <c r="I100">
        <v>1320</v>
      </c>
      <c r="J100" t="s">
        <v>55</v>
      </c>
      <c r="K100">
        <v>29542010</v>
      </c>
      <c r="L100">
        <v>1.3253968253968254</v>
      </c>
    </row>
    <row r="101" spans="1:12" x14ac:dyDescent="0.2">
      <c r="A101" t="s">
        <v>76</v>
      </c>
      <c r="B101">
        <v>31</v>
      </c>
      <c r="C101" t="s">
        <v>1039</v>
      </c>
      <c r="D101" t="s">
        <v>1037</v>
      </c>
      <c r="E101">
        <v>0.505</v>
      </c>
      <c r="F101">
        <v>259</v>
      </c>
      <c r="G101">
        <v>56</v>
      </c>
      <c r="H101">
        <v>15</v>
      </c>
      <c r="I101">
        <v>1316</v>
      </c>
      <c r="J101" t="s">
        <v>77</v>
      </c>
      <c r="K101">
        <v>27739975</v>
      </c>
      <c r="L101">
        <v>3.5462184873949578</v>
      </c>
    </row>
    <row r="102" spans="1:12" x14ac:dyDescent="0.2">
      <c r="A102" t="s">
        <v>84</v>
      </c>
      <c r="B102">
        <v>23</v>
      </c>
      <c r="C102" t="s">
        <v>1039</v>
      </c>
      <c r="D102" t="s">
        <v>1037</v>
      </c>
      <c r="E102">
        <v>0.53100000000000003</v>
      </c>
      <c r="F102">
        <v>299</v>
      </c>
      <c r="G102">
        <v>42</v>
      </c>
      <c r="H102">
        <v>36</v>
      </c>
      <c r="I102">
        <v>1450</v>
      </c>
      <c r="J102" t="s">
        <v>85</v>
      </c>
      <c r="K102">
        <v>27285000</v>
      </c>
      <c r="L102">
        <v>1.9220779220779221</v>
      </c>
    </row>
    <row r="103" spans="1:12" x14ac:dyDescent="0.2">
      <c r="A103" t="s">
        <v>98</v>
      </c>
      <c r="B103">
        <v>30</v>
      </c>
      <c r="C103" t="s">
        <v>1039</v>
      </c>
      <c r="D103" t="s">
        <v>1037</v>
      </c>
      <c r="E103">
        <v>0.49199999999999999</v>
      </c>
      <c r="F103">
        <v>448</v>
      </c>
      <c r="G103">
        <v>105</v>
      </c>
      <c r="H103">
        <v>52</v>
      </c>
      <c r="I103">
        <v>444</v>
      </c>
      <c r="J103" t="s">
        <v>99</v>
      </c>
      <c r="K103">
        <v>22246956</v>
      </c>
      <c r="L103">
        <v>2.9680851063829787</v>
      </c>
    </row>
    <row r="104" spans="1:12" x14ac:dyDescent="0.2">
      <c r="A104" t="s">
        <v>100</v>
      </c>
      <c r="B104">
        <v>28</v>
      </c>
      <c r="C104" t="s">
        <v>1039</v>
      </c>
      <c r="D104" t="s">
        <v>1037</v>
      </c>
      <c r="E104">
        <v>0.57499999999999996</v>
      </c>
      <c r="F104">
        <v>385</v>
      </c>
      <c r="G104">
        <v>43</v>
      </c>
      <c r="H104">
        <v>11</v>
      </c>
      <c r="I104">
        <v>933</v>
      </c>
      <c r="J104" t="s">
        <v>101</v>
      </c>
      <c r="K104">
        <v>22215909</v>
      </c>
      <c r="L104">
        <v>2.161290322580645</v>
      </c>
    </row>
    <row r="105" spans="1:12" x14ac:dyDescent="0.2">
      <c r="A105" t="s">
        <v>132</v>
      </c>
      <c r="B105">
        <v>31</v>
      </c>
      <c r="C105" t="s">
        <v>1039</v>
      </c>
      <c r="D105" t="s">
        <v>1037</v>
      </c>
      <c r="E105">
        <v>0.53600000000000003</v>
      </c>
      <c r="F105">
        <v>281</v>
      </c>
      <c r="G105">
        <v>45</v>
      </c>
      <c r="H105">
        <v>4</v>
      </c>
      <c r="I105">
        <v>1225</v>
      </c>
      <c r="J105" t="s">
        <v>133</v>
      </c>
      <c r="K105">
        <v>17850000</v>
      </c>
      <c r="L105">
        <v>1.0625</v>
      </c>
    </row>
    <row r="106" spans="1:12" x14ac:dyDescent="0.2">
      <c r="A106" t="s">
        <v>162</v>
      </c>
      <c r="B106">
        <v>31</v>
      </c>
      <c r="C106" t="s">
        <v>1039</v>
      </c>
      <c r="D106" t="s">
        <v>1037</v>
      </c>
      <c r="E106">
        <v>0.59199999999999997</v>
      </c>
      <c r="F106">
        <v>234</v>
      </c>
      <c r="G106">
        <v>34</v>
      </c>
      <c r="H106">
        <v>15</v>
      </c>
      <c r="I106">
        <v>765</v>
      </c>
      <c r="J106" t="s">
        <v>163</v>
      </c>
      <c r="K106">
        <v>14888721</v>
      </c>
      <c r="L106">
        <v>1.0175438596491229</v>
      </c>
    </row>
    <row r="107" spans="1:12" x14ac:dyDescent="0.2">
      <c r="A107" t="s">
        <v>164</v>
      </c>
      <c r="B107">
        <v>34</v>
      </c>
      <c r="C107" t="s">
        <v>1039</v>
      </c>
      <c r="D107" t="s">
        <v>1037</v>
      </c>
      <c r="E107">
        <v>0.505</v>
      </c>
      <c r="F107">
        <v>303</v>
      </c>
      <c r="G107">
        <v>45</v>
      </c>
      <c r="H107">
        <v>40</v>
      </c>
      <c r="I107">
        <v>716</v>
      </c>
      <c r="J107" t="s">
        <v>165</v>
      </c>
      <c r="K107">
        <v>14500000</v>
      </c>
      <c r="L107">
        <v>1.3538461538461539</v>
      </c>
    </row>
    <row r="108" spans="1:12" x14ac:dyDescent="0.2">
      <c r="A108" t="s">
        <v>166</v>
      </c>
      <c r="B108">
        <v>25</v>
      </c>
      <c r="C108" t="s">
        <v>1039</v>
      </c>
      <c r="D108" t="s">
        <v>1037</v>
      </c>
      <c r="E108">
        <v>0.501</v>
      </c>
      <c r="F108">
        <v>329</v>
      </c>
      <c r="G108">
        <v>57</v>
      </c>
      <c r="H108">
        <v>42</v>
      </c>
      <c r="I108">
        <v>849</v>
      </c>
      <c r="J108" t="s">
        <v>167</v>
      </c>
      <c r="K108">
        <v>14375000</v>
      </c>
      <c r="L108">
        <v>1.0428571428571429</v>
      </c>
    </row>
    <row r="109" spans="1:12" x14ac:dyDescent="0.2">
      <c r="A109" t="s">
        <v>170</v>
      </c>
      <c r="B109">
        <v>30</v>
      </c>
      <c r="C109" t="s">
        <v>1039</v>
      </c>
      <c r="D109" t="s">
        <v>1037</v>
      </c>
      <c r="E109">
        <v>0.50700000000000001</v>
      </c>
      <c r="F109">
        <v>226</v>
      </c>
      <c r="G109">
        <v>50</v>
      </c>
      <c r="H109">
        <v>23</v>
      </c>
      <c r="I109">
        <v>711</v>
      </c>
      <c r="J109" t="s">
        <v>171</v>
      </c>
      <c r="K109">
        <v>13723214</v>
      </c>
      <c r="L109">
        <v>1.8854166666666667</v>
      </c>
    </row>
    <row r="110" spans="1:12" x14ac:dyDescent="0.2">
      <c r="A110" t="s">
        <v>188</v>
      </c>
      <c r="B110">
        <v>24</v>
      </c>
      <c r="C110" t="s">
        <v>1039</v>
      </c>
      <c r="D110" t="s">
        <v>1037</v>
      </c>
      <c r="E110">
        <v>0.376</v>
      </c>
      <c r="F110">
        <v>118</v>
      </c>
      <c r="G110">
        <v>15</v>
      </c>
      <c r="H110">
        <v>12</v>
      </c>
      <c r="I110">
        <v>178</v>
      </c>
      <c r="J110" t="s">
        <v>189</v>
      </c>
      <c r="K110">
        <v>13000000</v>
      </c>
      <c r="L110">
        <v>1.3513513513513513</v>
      </c>
    </row>
    <row r="111" spans="1:12" x14ac:dyDescent="0.2">
      <c r="A111" t="s">
        <v>208</v>
      </c>
      <c r="B111">
        <v>30</v>
      </c>
      <c r="C111" t="s">
        <v>1039</v>
      </c>
      <c r="D111" t="s">
        <v>1037</v>
      </c>
      <c r="E111">
        <v>0.53300000000000003</v>
      </c>
      <c r="F111">
        <v>466</v>
      </c>
      <c r="G111">
        <v>101</v>
      </c>
      <c r="H111">
        <v>84</v>
      </c>
      <c r="I111">
        <v>593</v>
      </c>
      <c r="J111" t="s">
        <v>209</v>
      </c>
      <c r="K111">
        <v>12138345</v>
      </c>
      <c r="L111">
        <v>1.828125</v>
      </c>
    </row>
    <row r="112" spans="1:12" x14ac:dyDescent="0.2">
      <c r="A112" t="s">
        <v>218</v>
      </c>
      <c r="B112">
        <v>25</v>
      </c>
      <c r="C112" t="s">
        <v>1039</v>
      </c>
      <c r="D112" t="s">
        <v>1037</v>
      </c>
      <c r="E112">
        <v>0.48099999999999998</v>
      </c>
      <c r="F112">
        <v>196</v>
      </c>
      <c r="G112">
        <v>78</v>
      </c>
      <c r="H112">
        <v>26</v>
      </c>
      <c r="I112">
        <v>1151</v>
      </c>
      <c r="J112" t="s">
        <v>219</v>
      </c>
      <c r="K112">
        <v>11400000</v>
      </c>
      <c r="L112">
        <v>1.319327731092437</v>
      </c>
    </row>
    <row r="113" spans="1:12" x14ac:dyDescent="0.2">
      <c r="A113" t="s">
        <v>228</v>
      </c>
      <c r="B113">
        <v>33</v>
      </c>
      <c r="C113" t="s">
        <v>1039</v>
      </c>
      <c r="D113" t="s">
        <v>1037</v>
      </c>
      <c r="E113">
        <v>0.65200000000000002</v>
      </c>
      <c r="F113">
        <v>244</v>
      </c>
      <c r="G113">
        <v>45</v>
      </c>
      <c r="H113">
        <v>12</v>
      </c>
      <c r="I113">
        <v>809</v>
      </c>
      <c r="J113" t="s">
        <v>229</v>
      </c>
      <c r="K113">
        <v>10863637</v>
      </c>
      <c r="L113">
        <v>2.7179487179487181</v>
      </c>
    </row>
    <row r="114" spans="1:12" x14ac:dyDescent="0.2">
      <c r="A114" t="s">
        <v>234</v>
      </c>
      <c r="B114">
        <v>20</v>
      </c>
      <c r="C114" t="s">
        <v>1039</v>
      </c>
      <c r="D114" t="s">
        <v>1037</v>
      </c>
      <c r="E114">
        <v>0.61599999999999999</v>
      </c>
      <c r="F114">
        <v>441</v>
      </c>
      <c r="G114">
        <v>57</v>
      </c>
      <c r="H114">
        <v>39</v>
      </c>
      <c r="I114">
        <v>1647</v>
      </c>
      <c r="J114" t="s">
        <v>235</v>
      </c>
      <c r="K114">
        <v>10245480</v>
      </c>
      <c r="L114">
        <v>1.3532934131736527</v>
      </c>
    </row>
    <row r="115" spans="1:12" x14ac:dyDescent="0.2">
      <c r="A115" t="s">
        <v>254</v>
      </c>
      <c r="B115">
        <v>27</v>
      </c>
      <c r="C115" t="s">
        <v>1039</v>
      </c>
      <c r="D115" t="s">
        <v>1037</v>
      </c>
      <c r="E115">
        <v>0.54</v>
      </c>
      <c r="F115">
        <v>396</v>
      </c>
      <c r="G115">
        <v>84</v>
      </c>
      <c r="H115">
        <v>57</v>
      </c>
      <c r="I115">
        <v>854</v>
      </c>
      <c r="J115" t="s">
        <v>255</v>
      </c>
      <c r="K115">
        <v>9505100</v>
      </c>
      <c r="L115">
        <v>2.9069767441860463</v>
      </c>
    </row>
    <row r="116" spans="1:12" x14ac:dyDescent="0.2">
      <c r="A116" t="s">
        <v>258</v>
      </c>
      <c r="B116">
        <v>23</v>
      </c>
      <c r="C116" t="s">
        <v>1039</v>
      </c>
      <c r="D116" t="s">
        <v>1037</v>
      </c>
      <c r="E116">
        <v>0.55400000000000005</v>
      </c>
      <c r="F116">
        <v>205</v>
      </c>
      <c r="G116">
        <v>37</v>
      </c>
      <c r="H116">
        <v>54</v>
      </c>
      <c r="I116">
        <v>396</v>
      </c>
      <c r="J116" t="s">
        <v>259</v>
      </c>
      <c r="K116">
        <v>9258000</v>
      </c>
      <c r="L116">
        <v>1.46875</v>
      </c>
    </row>
    <row r="117" spans="1:12" x14ac:dyDescent="0.2">
      <c r="A117" t="s">
        <v>262</v>
      </c>
      <c r="B117">
        <v>30</v>
      </c>
      <c r="C117" t="s">
        <v>1039</v>
      </c>
      <c r="D117" t="s">
        <v>1037</v>
      </c>
      <c r="E117">
        <v>0.55500000000000005</v>
      </c>
      <c r="F117">
        <v>282</v>
      </c>
      <c r="G117">
        <v>48</v>
      </c>
      <c r="H117">
        <v>27</v>
      </c>
      <c r="I117">
        <v>603</v>
      </c>
      <c r="J117" t="s">
        <v>263</v>
      </c>
      <c r="K117">
        <v>9258000</v>
      </c>
      <c r="L117">
        <v>2.3090909090909091</v>
      </c>
    </row>
    <row r="118" spans="1:12" x14ac:dyDescent="0.2">
      <c r="A118" t="s">
        <v>276</v>
      </c>
      <c r="B118">
        <v>21</v>
      </c>
      <c r="C118" t="s">
        <v>1039</v>
      </c>
      <c r="D118" t="s">
        <v>1037</v>
      </c>
      <c r="E118">
        <v>0.54200000000000004</v>
      </c>
      <c r="F118">
        <v>318</v>
      </c>
      <c r="G118">
        <v>21</v>
      </c>
      <c r="H118">
        <v>21</v>
      </c>
      <c r="I118">
        <v>608</v>
      </c>
      <c r="J118" t="s">
        <v>277</v>
      </c>
      <c r="K118">
        <v>8963640</v>
      </c>
      <c r="L118">
        <v>0.72881355932203384</v>
      </c>
    </row>
    <row r="119" spans="1:12" x14ac:dyDescent="0.2">
      <c r="A119" t="s">
        <v>284</v>
      </c>
      <c r="B119">
        <v>27</v>
      </c>
      <c r="C119" t="s">
        <v>1039</v>
      </c>
      <c r="D119" t="s">
        <v>1037</v>
      </c>
      <c r="E119">
        <v>0.57999999999999996</v>
      </c>
      <c r="F119">
        <v>485</v>
      </c>
      <c r="G119">
        <v>57</v>
      </c>
      <c r="H119">
        <v>32</v>
      </c>
      <c r="I119">
        <v>496</v>
      </c>
      <c r="J119" t="s">
        <v>285</v>
      </c>
      <c r="K119">
        <v>8500000</v>
      </c>
      <c r="L119">
        <v>2.1807228915662651</v>
      </c>
    </row>
    <row r="120" spans="1:12" x14ac:dyDescent="0.2">
      <c r="A120" t="s">
        <v>288</v>
      </c>
      <c r="B120">
        <v>29</v>
      </c>
      <c r="C120" t="s">
        <v>1039</v>
      </c>
      <c r="D120" t="s">
        <v>1037</v>
      </c>
      <c r="E120">
        <v>0.57999999999999996</v>
      </c>
      <c r="F120">
        <v>260</v>
      </c>
      <c r="G120">
        <v>24</v>
      </c>
      <c r="H120">
        <v>35</v>
      </c>
      <c r="I120">
        <v>353</v>
      </c>
      <c r="J120" t="s">
        <v>289</v>
      </c>
      <c r="K120">
        <v>8325000</v>
      </c>
      <c r="L120">
        <v>2.2666666666666666</v>
      </c>
    </row>
    <row r="121" spans="1:12" x14ac:dyDescent="0.2">
      <c r="A121" t="s">
        <v>322</v>
      </c>
      <c r="B121">
        <v>30</v>
      </c>
      <c r="C121" t="s">
        <v>1039</v>
      </c>
      <c r="D121" t="s">
        <v>1037</v>
      </c>
      <c r="E121">
        <v>0.56799999999999995</v>
      </c>
      <c r="F121">
        <v>277</v>
      </c>
      <c r="G121">
        <v>26</v>
      </c>
      <c r="H121">
        <v>22</v>
      </c>
      <c r="I121">
        <v>471</v>
      </c>
      <c r="J121" t="s">
        <v>323</v>
      </c>
      <c r="K121">
        <v>7199760</v>
      </c>
      <c r="L121">
        <v>1</v>
      </c>
    </row>
    <row r="122" spans="1:12" x14ac:dyDescent="0.2">
      <c r="A122" t="s">
        <v>328</v>
      </c>
      <c r="B122">
        <v>30</v>
      </c>
      <c r="C122" t="s">
        <v>1039</v>
      </c>
      <c r="D122" t="s">
        <v>1037</v>
      </c>
      <c r="E122">
        <v>0.63500000000000001</v>
      </c>
      <c r="F122">
        <v>24</v>
      </c>
      <c r="G122">
        <v>13</v>
      </c>
      <c r="H122">
        <v>5</v>
      </c>
      <c r="I122">
        <v>73</v>
      </c>
      <c r="J122" t="s">
        <v>329</v>
      </c>
      <c r="K122">
        <v>7000000</v>
      </c>
      <c r="L122">
        <v>2.625</v>
      </c>
    </row>
    <row r="123" spans="1:12" x14ac:dyDescent="0.2">
      <c r="A123" t="s">
        <v>342</v>
      </c>
      <c r="B123">
        <v>25</v>
      </c>
      <c r="C123" t="s">
        <v>1039</v>
      </c>
      <c r="D123" t="s">
        <v>1037</v>
      </c>
      <c r="E123">
        <v>0.52700000000000002</v>
      </c>
      <c r="F123">
        <v>205</v>
      </c>
      <c r="G123">
        <v>19</v>
      </c>
      <c r="H123">
        <v>7</v>
      </c>
      <c r="I123">
        <v>375</v>
      </c>
      <c r="J123" t="s">
        <v>343</v>
      </c>
      <c r="K123">
        <v>6493000</v>
      </c>
      <c r="L123">
        <v>1.2962962962962963</v>
      </c>
    </row>
    <row r="124" spans="1:12" x14ac:dyDescent="0.2">
      <c r="A124" t="s">
        <v>366</v>
      </c>
      <c r="B124">
        <v>25</v>
      </c>
      <c r="C124" t="s">
        <v>1039</v>
      </c>
      <c r="D124" t="s">
        <v>1037</v>
      </c>
      <c r="E124">
        <v>0.55600000000000005</v>
      </c>
      <c r="F124">
        <v>86</v>
      </c>
      <c r="G124">
        <v>6</v>
      </c>
      <c r="H124">
        <v>1</v>
      </c>
      <c r="I124">
        <v>115</v>
      </c>
      <c r="J124" t="s">
        <v>367</v>
      </c>
      <c r="K124">
        <v>5500000</v>
      </c>
      <c r="L124">
        <v>2.3333333333333335</v>
      </c>
    </row>
    <row r="125" spans="1:12" x14ac:dyDescent="0.2">
      <c r="A125" t="s">
        <v>424</v>
      </c>
      <c r="B125">
        <v>23</v>
      </c>
      <c r="C125" t="s">
        <v>1039</v>
      </c>
      <c r="D125" t="s">
        <v>1037</v>
      </c>
      <c r="E125">
        <v>0.5</v>
      </c>
      <c r="F125">
        <v>5</v>
      </c>
      <c r="G125">
        <v>2</v>
      </c>
      <c r="H125">
        <v>1</v>
      </c>
      <c r="I125">
        <v>12</v>
      </c>
      <c r="J125" t="s">
        <v>425</v>
      </c>
      <c r="K125">
        <v>4326825</v>
      </c>
      <c r="L125">
        <v>0.5</v>
      </c>
    </row>
    <row r="126" spans="1:12" x14ac:dyDescent="0.2">
      <c r="A126" t="s">
        <v>426</v>
      </c>
      <c r="B126">
        <v>20</v>
      </c>
      <c r="C126" t="s">
        <v>1039</v>
      </c>
      <c r="D126" t="s">
        <v>1037</v>
      </c>
      <c r="E126">
        <v>0.48</v>
      </c>
      <c r="F126">
        <v>37</v>
      </c>
      <c r="G126">
        <v>1</v>
      </c>
      <c r="H126">
        <v>5</v>
      </c>
      <c r="I126">
        <v>53</v>
      </c>
      <c r="J126" t="s">
        <v>427</v>
      </c>
      <c r="K126">
        <v>4245720</v>
      </c>
      <c r="L126">
        <v>0.5714285714285714</v>
      </c>
    </row>
    <row r="127" spans="1:12" x14ac:dyDescent="0.2">
      <c r="A127" t="s">
        <v>432</v>
      </c>
      <c r="B127">
        <v>24</v>
      </c>
      <c r="C127" t="s">
        <v>1039</v>
      </c>
      <c r="D127" t="s">
        <v>1037</v>
      </c>
      <c r="E127">
        <v>0.64300000000000002</v>
      </c>
      <c r="F127">
        <v>309</v>
      </c>
      <c r="G127">
        <v>76</v>
      </c>
      <c r="H127">
        <v>63</v>
      </c>
      <c r="I127">
        <v>970</v>
      </c>
      <c r="J127" t="s">
        <v>433</v>
      </c>
      <c r="K127">
        <v>4161000</v>
      </c>
      <c r="L127">
        <v>2.6666666666666665</v>
      </c>
    </row>
    <row r="128" spans="1:12" x14ac:dyDescent="0.2">
      <c r="A128" t="s">
        <v>444</v>
      </c>
      <c r="B128">
        <v>20</v>
      </c>
      <c r="C128" t="s">
        <v>1039</v>
      </c>
      <c r="D128" t="s">
        <v>1037</v>
      </c>
      <c r="E128">
        <v>0.49199999999999999</v>
      </c>
      <c r="F128">
        <v>174</v>
      </c>
      <c r="G128">
        <v>43</v>
      </c>
      <c r="H128">
        <v>18</v>
      </c>
      <c r="I128">
        <v>341</v>
      </c>
      <c r="J128" t="s">
        <v>445</v>
      </c>
      <c r="K128">
        <v>4033440</v>
      </c>
      <c r="L128">
        <v>2.5454545454545454</v>
      </c>
    </row>
    <row r="129" spans="1:12" x14ac:dyDescent="0.2">
      <c r="A129" t="s">
        <v>442</v>
      </c>
      <c r="B129">
        <v>24</v>
      </c>
      <c r="C129" t="s">
        <v>1039</v>
      </c>
      <c r="D129" t="s">
        <v>1037</v>
      </c>
      <c r="E129">
        <v>0.54100000000000004</v>
      </c>
      <c r="F129">
        <v>199</v>
      </c>
      <c r="G129">
        <v>37</v>
      </c>
      <c r="H129">
        <v>16</v>
      </c>
      <c r="I129">
        <v>573</v>
      </c>
      <c r="J129" t="s">
        <v>443</v>
      </c>
      <c r="K129">
        <v>4033440</v>
      </c>
      <c r="L129">
        <v>2.15</v>
      </c>
    </row>
    <row r="130" spans="1:12" x14ac:dyDescent="0.2">
      <c r="A130" t="s">
        <v>448</v>
      </c>
      <c r="B130">
        <v>27</v>
      </c>
      <c r="C130" t="s">
        <v>1039</v>
      </c>
      <c r="D130" t="s">
        <v>1037</v>
      </c>
      <c r="E130">
        <v>0.6</v>
      </c>
      <c r="F130">
        <v>326</v>
      </c>
      <c r="G130">
        <v>52</v>
      </c>
      <c r="H130">
        <v>25</v>
      </c>
      <c r="I130">
        <v>590</v>
      </c>
      <c r="J130" t="s">
        <v>449</v>
      </c>
      <c r="K130">
        <v>4000000</v>
      </c>
      <c r="L130">
        <v>2.125</v>
      </c>
    </row>
    <row r="131" spans="1:12" x14ac:dyDescent="0.2">
      <c r="A131" t="s">
        <v>462</v>
      </c>
      <c r="B131">
        <v>25</v>
      </c>
      <c r="C131" t="s">
        <v>1039</v>
      </c>
      <c r="D131" t="s">
        <v>1037</v>
      </c>
      <c r="E131">
        <v>0.49299999999999999</v>
      </c>
      <c r="F131">
        <v>40</v>
      </c>
      <c r="G131">
        <v>8</v>
      </c>
      <c r="H131">
        <v>0</v>
      </c>
      <c r="I131">
        <v>84</v>
      </c>
      <c r="J131" t="s">
        <v>463</v>
      </c>
      <c r="K131">
        <v>3870370</v>
      </c>
      <c r="L131">
        <v>4</v>
      </c>
    </row>
    <row r="132" spans="1:12" x14ac:dyDescent="0.2">
      <c r="A132" t="s">
        <v>468</v>
      </c>
      <c r="B132">
        <v>26</v>
      </c>
      <c r="C132" t="s">
        <v>1039</v>
      </c>
      <c r="D132" t="s">
        <v>1037</v>
      </c>
      <c r="E132">
        <v>0.55700000000000005</v>
      </c>
      <c r="F132">
        <v>67</v>
      </c>
      <c r="G132">
        <v>29</v>
      </c>
      <c r="H132">
        <v>19</v>
      </c>
      <c r="I132">
        <v>231</v>
      </c>
      <c r="J132" t="s">
        <v>469</v>
      </c>
      <c r="K132">
        <v>3761085</v>
      </c>
      <c r="L132">
        <v>1.0769230769230769</v>
      </c>
    </row>
    <row r="133" spans="1:12" x14ac:dyDescent="0.2">
      <c r="A133" t="s">
        <v>472</v>
      </c>
      <c r="B133">
        <v>27</v>
      </c>
      <c r="C133" t="s">
        <v>1039</v>
      </c>
      <c r="D133" t="s">
        <v>1037</v>
      </c>
      <c r="E133">
        <v>0.504</v>
      </c>
      <c r="F133">
        <v>132</v>
      </c>
      <c r="G133">
        <v>20</v>
      </c>
      <c r="H133">
        <v>16</v>
      </c>
      <c r="I133">
        <v>315</v>
      </c>
      <c r="J133" t="s">
        <v>473</v>
      </c>
      <c r="K133">
        <v>3717000</v>
      </c>
      <c r="L133">
        <v>1.9166666666666667</v>
      </c>
    </row>
    <row r="134" spans="1:12" x14ac:dyDescent="0.2">
      <c r="A134" t="s">
        <v>484</v>
      </c>
      <c r="B134">
        <v>25</v>
      </c>
      <c r="C134" t="s">
        <v>1039</v>
      </c>
      <c r="D134" t="s">
        <v>1037</v>
      </c>
      <c r="E134">
        <v>0.53300000000000003</v>
      </c>
      <c r="F134">
        <v>417</v>
      </c>
      <c r="G134">
        <v>35</v>
      </c>
      <c r="H134">
        <v>41</v>
      </c>
      <c r="I134">
        <v>874</v>
      </c>
      <c r="J134" t="s">
        <v>485</v>
      </c>
      <c r="K134">
        <v>3562178</v>
      </c>
      <c r="L134">
        <v>1.1238938053097345</v>
      </c>
    </row>
    <row r="135" spans="1:12" x14ac:dyDescent="0.2">
      <c r="A135" t="s">
        <v>486</v>
      </c>
      <c r="B135">
        <v>22</v>
      </c>
      <c r="C135" t="s">
        <v>1039</v>
      </c>
      <c r="D135" t="s">
        <v>1037</v>
      </c>
      <c r="E135">
        <v>0.64600000000000002</v>
      </c>
      <c r="F135">
        <v>445</v>
      </c>
      <c r="G135">
        <v>40</v>
      </c>
      <c r="H135">
        <v>54</v>
      </c>
      <c r="I135">
        <v>1162</v>
      </c>
      <c r="J135" t="s">
        <v>487</v>
      </c>
      <c r="K135">
        <v>3550800</v>
      </c>
      <c r="L135">
        <v>0.90909090909090906</v>
      </c>
    </row>
    <row r="136" spans="1:12" x14ac:dyDescent="0.2">
      <c r="A136" t="s">
        <v>498</v>
      </c>
      <c r="B136">
        <v>25</v>
      </c>
      <c r="C136" t="s">
        <v>1039</v>
      </c>
      <c r="D136" t="s">
        <v>1037</v>
      </c>
      <c r="E136">
        <v>0.53100000000000003</v>
      </c>
      <c r="F136">
        <v>377</v>
      </c>
      <c r="G136">
        <v>38</v>
      </c>
      <c r="H136">
        <v>12</v>
      </c>
      <c r="I136">
        <v>434</v>
      </c>
      <c r="J136" t="s">
        <v>499</v>
      </c>
      <c r="K136">
        <v>3491159</v>
      </c>
      <c r="L136">
        <v>2.2244897959183674</v>
      </c>
    </row>
    <row r="137" spans="1:12" x14ac:dyDescent="0.2">
      <c r="A137" t="s">
        <v>520</v>
      </c>
      <c r="B137">
        <v>31</v>
      </c>
      <c r="C137" t="s">
        <v>1039</v>
      </c>
      <c r="D137" t="s">
        <v>1037</v>
      </c>
      <c r="E137">
        <v>0.55800000000000005</v>
      </c>
      <c r="F137">
        <v>75</v>
      </c>
      <c r="G137">
        <v>14</v>
      </c>
      <c r="H137">
        <v>8</v>
      </c>
      <c r="I137">
        <v>197</v>
      </c>
      <c r="J137" t="s">
        <v>521</v>
      </c>
      <c r="K137">
        <v>3077704</v>
      </c>
      <c r="L137">
        <v>2.6363636363636362</v>
      </c>
    </row>
    <row r="138" spans="1:12" x14ac:dyDescent="0.2">
      <c r="A138" t="s">
        <v>530</v>
      </c>
      <c r="B138">
        <v>19</v>
      </c>
      <c r="C138" t="s">
        <v>1039</v>
      </c>
      <c r="D138" t="s">
        <v>1037</v>
      </c>
      <c r="E138">
        <v>0.41199999999999998</v>
      </c>
      <c r="F138">
        <v>212</v>
      </c>
      <c r="G138">
        <v>20</v>
      </c>
      <c r="H138">
        <v>42</v>
      </c>
      <c r="I138">
        <v>367</v>
      </c>
      <c r="J138" t="s">
        <v>531</v>
      </c>
      <c r="K138">
        <v>2964840</v>
      </c>
      <c r="L138">
        <v>0.97979797979797978</v>
      </c>
    </row>
    <row r="139" spans="1:12" x14ac:dyDescent="0.2">
      <c r="A139" t="s">
        <v>534</v>
      </c>
      <c r="B139">
        <v>21</v>
      </c>
      <c r="C139" t="s">
        <v>1039</v>
      </c>
      <c r="D139" t="s">
        <v>1037</v>
      </c>
      <c r="E139">
        <v>0.505</v>
      </c>
      <c r="F139">
        <v>68</v>
      </c>
      <c r="G139">
        <v>8</v>
      </c>
      <c r="H139">
        <v>8</v>
      </c>
      <c r="I139">
        <v>122</v>
      </c>
      <c r="J139" t="s">
        <v>535</v>
      </c>
      <c r="K139">
        <v>2892000</v>
      </c>
      <c r="L139">
        <v>0.75</v>
      </c>
    </row>
    <row r="140" spans="1:12" x14ac:dyDescent="0.2">
      <c r="A140" t="s">
        <v>550</v>
      </c>
      <c r="B140">
        <v>24</v>
      </c>
      <c r="C140" t="s">
        <v>1039</v>
      </c>
      <c r="D140" t="s">
        <v>1037</v>
      </c>
      <c r="E140">
        <v>0.53700000000000003</v>
      </c>
      <c r="F140">
        <v>328</v>
      </c>
      <c r="G140">
        <v>60</v>
      </c>
      <c r="H140">
        <v>51</v>
      </c>
      <c r="I140">
        <v>610</v>
      </c>
      <c r="J140" t="s">
        <v>551</v>
      </c>
      <c r="K140">
        <v>2602920</v>
      </c>
      <c r="L140">
        <v>2.8787878787878789</v>
      </c>
    </row>
    <row r="141" spans="1:12" x14ac:dyDescent="0.2">
      <c r="A141" t="s">
        <v>568</v>
      </c>
      <c r="B141">
        <v>20</v>
      </c>
      <c r="C141" t="s">
        <v>1039</v>
      </c>
      <c r="D141" t="s">
        <v>1037</v>
      </c>
      <c r="E141">
        <v>0.45600000000000002</v>
      </c>
      <c r="F141">
        <v>396</v>
      </c>
      <c r="G141">
        <v>29</v>
      </c>
      <c r="H141">
        <v>25</v>
      </c>
      <c r="I141">
        <v>754</v>
      </c>
      <c r="J141" t="s">
        <v>569</v>
      </c>
      <c r="K141">
        <v>2339160</v>
      </c>
      <c r="L141">
        <v>0.81147540983606559</v>
      </c>
    </row>
    <row r="142" spans="1:12" x14ac:dyDescent="0.2">
      <c r="A142" t="s">
        <v>574</v>
      </c>
      <c r="B142">
        <v>20</v>
      </c>
      <c r="C142" t="s">
        <v>1039</v>
      </c>
      <c r="D142" t="s">
        <v>1037</v>
      </c>
      <c r="E142">
        <v>0.59599999999999997</v>
      </c>
      <c r="F142">
        <v>65</v>
      </c>
      <c r="G142">
        <v>8</v>
      </c>
      <c r="H142">
        <v>4</v>
      </c>
      <c r="I142">
        <v>136</v>
      </c>
      <c r="J142" t="s">
        <v>575</v>
      </c>
      <c r="K142">
        <v>2284800</v>
      </c>
      <c r="L142">
        <v>1.4285714285714286</v>
      </c>
    </row>
    <row r="143" spans="1:12" x14ac:dyDescent="0.2">
      <c r="A143" t="s">
        <v>586</v>
      </c>
      <c r="B143">
        <v>20</v>
      </c>
      <c r="C143" t="s">
        <v>1039</v>
      </c>
      <c r="D143" t="s">
        <v>1037</v>
      </c>
      <c r="E143">
        <v>0.55100000000000005</v>
      </c>
      <c r="F143">
        <v>128</v>
      </c>
      <c r="G143">
        <v>5</v>
      </c>
      <c r="H143">
        <v>13</v>
      </c>
      <c r="I143">
        <v>220</v>
      </c>
      <c r="J143" t="s">
        <v>587</v>
      </c>
      <c r="K143">
        <v>2210640</v>
      </c>
      <c r="L143">
        <v>1.2777777777777777</v>
      </c>
    </row>
    <row r="144" spans="1:12" x14ac:dyDescent="0.2">
      <c r="A144" t="s">
        <v>604</v>
      </c>
      <c r="B144">
        <v>21</v>
      </c>
      <c r="C144" t="s">
        <v>1039</v>
      </c>
      <c r="D144" t="s">
        <v>1037</v>
      </c>
      <c r="E144">
        <v>0.50900000000000001</v>
      </c>
      <c r="F144">
        <v>24</v>
      </c>
      <c r="G144">
        <v>3</v>
      </c>
      <c r="H144">
        <v>10</v>
      </c>
      <c r="I144">
        <v>69</v>
      </c>
      <c r="J144" t="s">
        <v>605</v>
      </c>
      <c r="K144">
        <v>2058240</v>
      </c>
      <c r="L144">
        <v>0.53846153846153844</v>
      </c>
    </row>
    <row r="145" spans="1:12" x14ac:dyDescent="0.2">
      <c r="A145" t="s">
        <v>606</v>
      </c>
      <c r="B145">
        <v>21</v>
      </c>
      <c r="C145" t="s">
        <v>1039</v>
      </c>
      <c r="D145" t="s">
        <v>1037</v>
      </c>
      <c r="E145">
        <v>0.52200000000000002</v>
      </c>
      <c r="F145">
        <v>412</v>
      </c>
      <c r="G145">
        <v>40</v>
      </c>
      <c r="H145">
        <v>24</v>
      </c>
      <c r="I145">
        <v>881</v>
      </c>
      <c r="J145" t="s">
        <v>607</v>
      </c>
      <c r="K145">
        <v>2048040</v>
      </c>
      <c r="L145">
        <v>1.5512820512820513</v>
      </c>
    </row>
    <row r="146" spans="1:12" x14ac:dyDescent="0.2">
      <c r="A146" t="s">
        <v>614</v>
      </c>
      <c r="B146">
        <v>26</v>
      </c>
      <c r="C146" t="s">
        <v>1039</v>
      </c>
      <c r="D146" t="s">
        <v>1037</v>
      </c>
      <c r="E146">
        <v>0.59599999999999997</v>
      </c>
      <c r="F146">
        <v>273</v>
      </c>
      <c r="G146">
        <v>55</v>
      </c>
      <c r="H146">
        <v>17</v>
      </c>
      <c r="I146">
        <v>526</v>
      </c>
      <c r="J146" t="s">
        <v>615</v>
      </c>
      <c r="K146">
        <v>2000000</v>
      </c>
      <c r="L146">
        <v>2</v>
      </c>
    </row>
    <row r="147" spans="1:12" x14ac:dyDescent="0.2">
      <c r="A147" t="s">
        <v>622</v>
      </c>
      <c r="B147">
        <v>20</v>
      </c>
      <c r="C147" t="s">
        <v>1039</v>
      </c>
      <c r="D147" t="s">
        <v>1037</v>
      </c>
      <c r="E147">
        <v>0.54500000000000004</v>
      </c>
      <c r="F147">
        <v>232</v>
      </c>
      <c r="G147">
        <v>35</v>
      </c>
      <c r="H147">
        <v>60</v>
      </c>
      <c r="I147">
        <v>427</v>
      </c>
      <c r="J147" t="s">
        <v>623</v>
      </c>
      <c r="K147">
        <v>1964760</v>
      </c>
      <c r="L147">
        <v>1.5106382978723405</v>
      </c>
    </row>
    <row r="148" spans="1:12" x14ac:dyDescent="0.2">
      <c r="A148" t="s">
        <v>628</v>
      </c>
      <c r="B148">
        <v>21</v>
      </c>
      <c r="C148" t="s">
        <v>1039</v>
      </c>
      <c r="D148" t="s">
        <v>1037</v>
      </c>
      <c r="E148">
        <v>0.63300000000000001</v>
      </c>
      <c r="F148">
        <v>14</v>
      </c>
      <c r="G148">
        <v>3</v>
      </c>
      <c r="H148">
        <v>1</v>
      </c>
      <c r="I148">
        <v>22</v>
      </c>
      <c r="J148" t="s">
        <v>629</v>
      </c>
      <c r="K148">
        <v>1900000</v>
      </c>
      <c r="L148">
        <v>0.14285714285714285</v>
      </c>
    </row>
    <row r="149" spans="1:12" x14ac:dyDescent="0.2">
      <c r="A149" t="s">
        <v>632</v>
      </c>
      <c r="B149">
        <v>23</v>
      </c>
      <c r="C149" t="s">
        <v>1039</v>
      </c>
      <c r="D149" t="s">
        <v>1037</v>
      </c>
      <c r="E149">
        <v>0.39300000000000002</v>
      </c>
      <c r="F149">
        <v>13</v>
      </c>
      <c r="G149">
        <v>0</v>
      </c>
      <c r="H149">
        <v>2</v>
      </c>
      <c r="I149">
        <v>13</v>
      </c>
      <c r="J149" t="s">
        <v>633</v>
      </c>
      <c r="K149">
        <v>1824003</v>
      </c>
      <c r="L149">
        <v>1</v>
      </c>
    </row>
    <row r="150" spans="1:12" x14ac:dyDescent="0.2">
      <c r="A150" t="s">
        <v>634</v>
      </c>
      <c r="B150">
        <v>28</v>
      </c>
      <c r="C150" t="s">
        <v>1039</v>
      </c>
      <c r="D150" t="s">
        <v>1037</v>
      </c>
      <c r="E150">
        <v>0.52500000000000002</v>
      </c>
      <c r="F150">
        <v>118</v>
      </c>
      <c r="G150">
        <v>30</v>
      </c>
      <c r="H150">
        <v>21</v>
      </c>
      <c r="I150">
        <v>276</v>
      </c>
      <c r="J150" t="s">
        <v>635</v>
      </c>
      <c r="K150">
        <v>1824003</v>
      </c>
      <c r="L150">
        <v>1.8235294117647058</v>
      </c>
    </row>
    <row r="151" spans="1:12" x14ac:dyDescent="0.2">
      <c r="A151" t="s">
        <v>636</v>
      </c>
      <c r="B151">
        <v>27</v>
      </c>
      <c r="C151" t="s">
        <v>1039</v>
      </c>
      <c r="D151" t="s">
        <v>1037</v>
      </c>
      <c r="E151">
        <v>0.59</v>
      </c>
      <c r="F151">
        <v>176</v>
      </c>
      <c r="G151">
        <v>25</v>
      </c>
      <c r="H151">
        <v>8</v>
      </c>
      <c r="I151">
        <v>500</v>
      </c>
      <c r="J151" t="s">
        <v>637</v>
      </c>
      <c r="K151">
        <v>1783557</v>
      </c>
      <c r="L151">
        <v>1.1568627450980393</v>
      </c>
    </row>
    <row r="152" spans="1:12" x14ac:dyDescent="0.2">
      <c r="A152" t="s">
        <v>640</v>
      </c>
      <c r="B152">
        <v>28</v>
      </c>
      <c r="C152" t="s">
        <v>1039</v>
      </c>
      <c r="D152" t="s">
        <v>1037</v>
      </c>
      <c r="E152">
        <v>0.60199999999999998</v>
      </c>
      <c r="F152">
        <v>54</v>
      </c>
      <c r="G152">
        <v>7</v>
      </c>
      <c r="H152">
        <v>0</v>
      </c>
      <c r="I152">
        <v>122</v>
      </c>
      <c r="J152" t="s">
        <v>641</v>
      </c>
      <c r="K152">
        <v>1762796</v>
      </c>
      <c r="L152">
        <v>1.2</v>
      </c>
    </row>
    <row r="153" spans="1:12" x14ac:dyDescent="0.2">
      <c r="A153" t="s">
        <v>650</v>
      </c>
      <c r="B153">
        <v>27</v>
      </c>
      <c r="C153" t="s">
        <v>1039</v>
      </c>
      <c r="D153" t="s">
        <v>1037</v>
      </c>
      <c r="E153">
        <v>0.56899999999999995</v>
      </c>
      <c r="F153">
        <v>62</v>
      </c>
      <c r="G153">
        <v>10</v>
      </c>
      <c r="H153">
        <v>9</v>
      </c>
      <c r="I153">
        <v>160</v>
      </c>
      <c r="J153" t="s">
        <v>651</v>
      </c>
      <c r="K153">
        <v>1752950</v>
      </c>
      <c r="L153">
        <v>1</v>
      </c>
    </row>
    <row r="154" spans="1:12" x14ac:dyDescent="0.2">
      <c r="A154" t="s">
        <v>674</v>
      </c>
      <c r="B154">
        <v>25</v>
      </c>
      <c r="C154" t="s">
        <v>1039</v>
      </c>
      <c r="D154" t="s">
        <v>1037</v>
      </c>
      <c r="E154">
        <v>0.48499999999999999</v>
      </c>
      <c r="F154">
        <v>49</v>
      </c>
      <c r="G154">
        <v>11</v>
      </c>
      <c r="H154">
        <v>5</v>
      </c>
      <c r="I154">
        <v>79</v>
      </c>
      <c r="J154" t="s">
        <v>675</v>
      </c>
      <c r="K154">
        <v>1663861</v>
      </c>
      <c r="L154">
        <v>1.7142857142857142</v>
      </c>
    </row>
    <row r="155" spans="1:12" x14ac:dyDescent="0.2">
      <c r="A155" t="s">
        <v>684</v>
      </c>
      <c r="B155">
        <v>21</v>
      </c>
      <c r="C155" t="s">
        <v>1039</v>
      </c>
      <c r="D155" t="s">
        <v>1037</v>
      </c>
      <c r="E155">
        <v>0.60799999999999998</v>
      </c>
      <c r="F155">
        <v>368</v>
      </c>
      <c r="G155">
        <v>64</v>
      </c>
      <c r="H155">
        <v>46</v>
      </c>
      <c r="I155">
        <v>344</v>
      </c>
      <c r="J155" t="s">
        <v>685</v>
      </c>
      <c r="K155">
        <v>1663361</v>
      </c>
      <c r="L155">
        <v>1.4339622641509433</v>
      </c>
    </row>
    <row r="156" spans="1:12" x14ac:dyDescent="0.2">
      <c r="A156" t="s">
        <v>720</v>
      </c>
      <c r="B156">
        <v>35</v>
      </c>
      <c r="C156" t="s">
        <v>1039</v>
      </c>
      <c r="D156" t="s">
        <v>1037</v>
      </c>
      <c r="E156">
        <v>0.33300000000000002</v>
      </c>
      <c r="F156">
        <v>21</v>
      </c>
      <c r="G156">
        <v>1</v>
      </c>
      <c r="H156">
        <v>1</v>
      </c>
      <c r="I156">
        <v>6</v>
      </c>
      <c r="J156" t="s">
        <v>721</v>
      </c>
      <c r="K156">
        <v>1620564</v>
      </c>
      <c r="L156">
        <v>2.5</v>
      </c>
    </row>
    <row r="157" spans="1:12" x14ac:dyDescent="0.2">
      <c r="A157" t="s">
        <v>702</v>
      </c>
      <c r="B157">
        <v>27</v>
      </c>
      <c r="C157" t="s">
        <v>1039</v>
      </c>
      <c r="D157" t="s">
        <v>1037</v>
      </c>
      <c r="E157">
        <v>0.505</v>
      </c>
      <c r="F157">
        <v>45</v>
      </c>
      <c r="G157">
        <v>4</v>
      </c>
      <c r="H157">
        <v>3</v>
      </c>
      <c r="I157">
        <v>121</v>
      </c>
      <c r="J157" t="s">
        <v>703</v>
      </c>
      <c r="K157">
        <v>1620564</v>
      </c>
      <c r="L157">
        <v>1.8181818181818181</v>
      </c>
    </row>
    <row r="158" spans="1:12" x14ac:dyDescent="0.2">
      <c r="A158" t="s">
        <v>700</v>
      </c>
      <c r="B158">
        <v>23</v>
      </c>
      <c r="C158" t="s">
        <v>1039</v>
      </c>
      <c r="D158" t="s">
        <v>1037</v>
      </c>
      <c r="E158">
        <v>0.50800000000000001</v>
      </c>
      <c r="F158">
        <v>54</v>
      </c>
      <c r="G158">
        <v>9</v>
      </c>
      <c r="H158">
        <v>8</v>
      </c>
      <c r="I158">
        <v>72</v>
      </c>
      <c r="J158" t="s">
        <v>701</v>
      </c>
      <c r="K158">
        <v>1620564</v>
      </c>
      <c r="L158">
        <v>0.73333333333333328</v>
      </c>
    </row>
    <row r="159" spans="1:12" x14ac:dyDescent="0.2">
      <c r="A159" t="s">
        <v>736</v>
      </c>
      <c r="B159">
        <v>32</v>
      </c>
      <c r="C159" t="s">
        <v>1039</v>
      </c>
      <c r="D159" t="s">
        <v>1037</v>
      </c>
      <c r="E159">
        <v>0.59699999999999998</v>
      </c>
      <c r="F159">
        <v>316</v>
      </c>
      <c r="G159">
        <v>69</v>
      </c>
      <c r="H159">
        <v>37</v>
      </c>
      <c r="I159">
        <v>540</v>
      </c>
      <c r="J159" t="s">
        <v>737</v>
      </c>
      <c r="K159">
        <v>1620564</v>
      </c>
      <c r="L159">
        <v>2.7924528301886791</v>
      </c>
    </row>
    <row r="160" spans="1:12" x14ac:dyDescent="0.2">
      <c r="A160" t="s">
        <v>734</v>
      </c>
      <c r="B160">
        <v>31</v>
      </c>
      <c r="C160" t="s">
        <v>1039</v>
      </c>
      <c r="D160" t="s">
        <v>1037</v>
      </c>
      <c r="E160">
        <v>0.49099999999999999</v>
      </c>
      <c r="F160">
        <v>266</v>
      </c>
      <c r="G160">
        <v>22</v>
      </c>
      <c r="H160">
        <v>19</v>
      </c>
      <c r="I160">
        <v>407</v>
      </c>
      <c r="J160" t="s">
        <v>735</v>
      </c>
      <c r="K160">
        <v>1620564</v>
      </c>
      <c r="L160">
        <v>1.3518518518518519</v>
      </c>
    </row>
    <row r="161" spans="1:12" x14ac:dyDescent="0.2">
      <c r="A161" t="s">
        <v>724</v>
      </c>
      <c r="B161">
        <v>36</v>
      </c>
      <c r="C161" t="s">
        <v>1039</v>
      </c>
      <c r="D161" t="s">
        <v>1037</v>
      </c>
      <c r="E161">
        <v>0.50600000000000001</v>
      </c>
      <c r="F161">
        <v>214</v>
      </c>
      <c r="G161">
        <v>46</v>
      </c>
      <c r="H161">
        <v>38</v>
      </c>
      <c r="I161">
        <v>924</v>
      </c>
      <c r="J161" t="s">
        <v>725</v>
      </c>
      <c r="K161">
        <v>1620564</v>
      </c>
      <c r="L161">
        <v>1.7049180327868851</v>
      </c>
    </row>
    <row r="162" spans="1:12" x14ac:dyDescent="0.2">
      <c r="A162" t="s">
        <v>722</v>
      </c>
      <c r="B162">
        <v>31</v>
      </c>
      <c r="C162" t="s">
        <v>1039</v>
      </c>
      <c r="D162" t="s">
        <v>1037</v>
      </c>
      <c r="E162">
        <v>0.54500000000000004</v>
      </c>
      <c r="F162">
        <v>229</v>
      </c>
      <c r="G162">
        <v>69</v>
      </c>
      <c r="H162">
        <v>33</v>
      </c>
      <c r="I162">
        <v>481</v>
      </c>
      <c r="J162" t="s">
        <v>723</v>
      </c>
      <c r="K162">
        <v>1620564</v>
      </c>
      <c r="L162">
        <v>1.3170731707317074</v>
      </c>
    </row>
    <row r="163" spans="1:12" x14ac:dyDescent="0.2">
      <c r="A163" t="s">
        <v>808</v>
      </c>
      <c r="B163">
        <v>23</v>
      </c>
      <c r="C163" t="s">
        <v>1039</v>
      </c>
      <c r="D163" t="s">
        <v>1037</v>
      </c>
      <c r="E163">
        <v>0.53300000000000003</v>
      </c>
      <c r="F163">
        <v>28</v>
      </c>
      <c r="G163">
        <v>4</v>
      </c>
      <c r="H163">
        <v>1</v>
      </c>
      <c r="I163">
        <v>35</v>
      </c>
      <c r="J163" t="s">
        <v>809</v>
      </c>
      <c r="K163">
        <v>1517981</v>
      </c>
      <c r="L163">
        <v>2.25</v>
      </c>
    </row>
    <row r="164" spans="1:12" x14ac:dyDescent="0.2">
      <c r="A164" t="s">
        <v>786</v>
      </c>
      <c r="B164">
        <v>20</v>
      </c>
      <c r="C164" t="s">
        <v>1039</v>
      </c>
      <c r="D164" t="s">
        <v>1037</v>
      </c>
      <c r="E164">
        <v>0.48099999999999998</v>
      </c>
      <c r="F164">
        <v>16</v>
      </c>
      <c r="G164">
        <v>3</v>
      </c>
      <c r="H164">
        <v>5</v>
      </c>
      <c r="I164">
        <v>28</v>
      </c>
      <c r="J164" t="s">
        <v>787</v>
      </c>
      <c r="K164">
        <v>1517981</v>
      </c>
      <c r="L164">
        <v>0.8</v>
      </c>
    </row>
    <row r="165" spans="1:12" x14ac:dyDescent="0.2">
      <c r="A165" t="s">
        <v>756</v>
      </c>
      <c r="B165">
        <v>23</v>
      </c>
      <c r="C165" t="s">
        <v>1039</v>
      </c>
      <c r="D165" t="s">
        <v>1037</v>
      </c>
      <c r="E165">
        <v>0.52100000000000002</v>
      </c>
      <c r="F165">
        <v>50</v>
      </c>
      <c r="G165">
        <v>11</v>
      </c>
      <c r="H165">
        <v>2</v>
      </c>
      <c r="I165">
        <v>85</v>
      </c>
      <c r="J165" t="s">
        <v>757</v>
      </c>
      <c r="K165">
        <v>1517981</v>
      </c>
      <c r="L165">
        <v>1</v>
      </c>
    </row>
    <row r="166" spans="1:12" x14ac:dyDescent="0.2">
      <c r="A166" t="s">
        <v>796</v>
      </c>
      <c r="B166">
        <v>24</v>
      </c>
      <c r="C166" t="s">
        <v>1039</v>
      </c>
      <c r="D166" t="s">
        <v>1037</v>
      </c>
      <c r="E166">
        <v>0.53200000000000003</v>
      </c>
      <c r="F166">
        <v>30</v>
      </c>
      <c r="G166">
        <v>8</v>
      </c>
      <c r="H166">
        <v>3</v>
      </c>
      <c r="I166">
        <v>139</v>
      </c>
      <c r="J166" t="s">
        <v>797</v>
      </c>
      <c r="K166">
        <v>1517981</v>
      </c>
      <c r="L166">
        <v>1.4666666666666666</v>
      </c>
    </row>
    <row r="167" spans="1:12" x14ac:dyDescent="0.2">
      <c r="A167" t="s">
        <v>772</v>
      </c>
      <c r="B167">
        <v>24</v>
      </c>
      <c r="C167" t="s">
        <v>1039</v>
      </c>
      <c r="D167" t="s">
        <v>1037</v>
      </c>
      <c r="E167">
        <v>0.52700000000000002</v>
      </c>
      <c r="F167">
        <v>128</v>
      </c>
      <c r="G167">
        <v>12</v>
      </c>
      <c r="H167">
        <v>7</v>
      </c>
      <c r="I167">
        <v>381</v>
      </c>
      <c r="J167" t="s">
        <v>773</v>
      </c>
      <c r="K167">
        <v>1517981</v>
      </c>
      <c r="L167">
        <v>1.1860465116279071</v>
      </c>
    </row>
    <row r="168" spans="1:12" x14ac:dyDescent="0.2">
      <c r="A168" t="s">
        <v>766</v>
      </c>
      <c r="B168">
        <v>22</v>
      </c>
      <c r="C168" t="s">
        <v>1039</v>
      </c>
      <c r="D168" t="s">
        <v>1037</v>
      </c>
      <c r="E168">
        <v>0.52</v>
      </c>
      <c r="F168">
        <v>341</v>
      </c>
      <c r="G168">
        <v>52</v>
      </c>
      <c r="H168">
        <v>37</v>
      </c>
      <c r="I168">
        <v>533</v>
      </c>
      <c r="J168" t="s">
        <v>767</v>
      </c>
      <c r="K168">
        <v>1517981</v>
      </c>
      <c r="L168">
        <v>0.94690265486725667</v>
      </c>
    </row>
    <row r="169" spans="1:12" x14ac:dyDescent="0.2">
      <c r="A169" t="s">
        <v>810</v>
      </c>
      <c r="B169">
        <v>21</v>
      </c>
      <c r="C169" t="s">
        <v>1039</v>
      </c>
      <c r="D169" t="s">
        <v>1037</v>
      </c>
      <c r="E169">
        <v>0.42499999999999999</v>
      </c>
      <c r="F169">
        <v>16</v>
      </c>
      <c r="G169">
        <v>0</v>
      </c>
      <c r="H169">
        <v>3</v>
      </c>
      <c r="I169">
        <v>20</v>
      </c>
      <c r="J169" t="s">
        <v>811</v>
      </c>
      <c r="K169">
        <v>1500000</v>
      </c>
      <c r="L169">
        <v>2</v>
      </c>
    </row>
    <row r="170" spans="1:12" x14ac:dyDescent="0.2">
      <c r="A170" t="s">
        <v>818</v>
      </c>
      <c r="B170">
        <v>25</v>
      </c>
      <c r="C170" t="s">
        <v>1039</v>
      </c>
      <c r="D170" t="s">
        <v>1037</v>
      </c>
      <c r="E170">
        <v>0.55400000000000005</v>
      </c>
      <c r="F170">
        <v>374</v>
      </c>
      <c r="G170">
        <v>85</v>
      </c>
      <c r="H170">
        <v>36</v>
      </c>
      <c r="I170">
        <v>794</v>
      </c>
      <c r="J170" t="s">
        <v>819</v>
      </c>
      <c r="K170">
        <v>1445697</v>
      </c>
      <c r="L170">
        <v>1.8163265306122449</v>
      </c>
    </row>
    <row r="171" spans="1:12" x14ac:dyDescent="0.2">
      <c r="A171" t="s">
        <v>828</v>
      </c>
      <c r="B171">
        <v>30</v>
      </c>
      <c r="C171" t="s">
        <v>1039</v>
      </c>
      <c r="D171" t="s">
        <v>1037</v>
      </c>
      <c r="E171">
        <v>0.53800000000000003</v>
      </c>
      <c r="F171">
        <v>9</v>
      </c>
      <c r="G171">
        <v>0</v>
      </c>
      <c r="H171">
        <v>0</v>
      </c>
      <c r="I171">
        <v>15</v>
      </c>
      <c r="J171" t="s">
        <v>829</v>
      </c>
      <c r="K171">
        <v>1349383</v>
      </c>
      <c r="L171">
        <v>1.5</v>
      </c>
    </row>
    <row r="172" spans="1:12" x14ac:dyDescent="0.2">
      <c r="A172" t="s">
        <v>832</v>
      </c>
      <c r="B172">
        <v>22</v>
      </c>
      <c r="C172" t="s">
        <v>1039</v>
      </c>
      <c r="D172" t="s">
        <v>1037</v>
      </c>
      <c r="E172">
        <v>0.59499999999999997</v>
      </c>
      <c r="F172">
        <v>256</v>
      </c>
      <c r="G172">
        <v>44</v>
      </c>
      <c r="H172">
        <v>33</v>
      </c>
      <c r="I172">
        <v>390</v>
      </c>
      <c r="J172" t="s">
        <v>833</v>
      </c>
      <c r="K172">
        <v>1300000</v>
      </c>
      <c r="L172">
        <v>1.6666666666666667</v>
      </c>
    </row>
    <row r="173" spans="1:12" x14ac:dyDescent="0.2">
      <c r="A173" t="s">
        <v>846</v>
      </c>
      <c r="B173">
        <v>35</v>
      </c>
      <c r="C173" t="s">
        <v>1039</v>
      </c>
      <c r="D173" t="s">
        <v>1037</v>
      </c>
      <c r="E173">
        <v>0.53700000000000003</v>
      </c>
      <c r="F173">
        <v>262</v>
      </c>
      <c r="G173">
        <v>51</v>
      </c>
      <c r="H173">
        <v>36</v>
      </c>
      <c r="I173">
        <v>502</v>
      </c>
      <c r="J173" t="s">
        <v>847</v>
      </c>
      <c r="K173">
        <v>1000000</v>
      </c>
      <c r="L173">
        <v>1.9215686274509804</v>
      </c>
    </row>
    <row r="174" spans="1:12" x14ac:dyDescent="0.2">
      <c r="A174" t="s">
        <v>858</v>
      </c>
      <c r="B174">
        <v>20</v>
      </c>
      <c r="C174" t="s">
        <v>1039</v>
      </c>
      <c r="D174" t="s">
        <v>1037</v>
      </c>
      <c r="E174">
        <v>0.432</v>
      </c>
      <c r="F174">
        <v>32</v>
      </c>
      <c r="G174">
        <v>6</v>
      </c>
      <c r="H174">
        <v>3</v>
      </c>
      <c r="I174">
        <v>68</v>
      </c>
      <c r="J174" t="s">
        <v>859</v>
      </c>
      <c r="K174">
        <v>898310</v>
      </c>
      <c r="L174">
        <v>2</v>
      </c>
    </row>
    <row r="175" spans="1:12" x14ac:dyDescent="0.2">
      <c r="A175" t="s">
        <v>864</v>
      </c>
      <c r="B175">
        <v>22</v>
      </c>
      <c r="C175" t="s">
        <v>1039</v>
      </c>
      <c r="D175" t="s">
        <v>1037</v>
      </c>
      <c r="E175">
        <v>0.46700000000000003</v>
      </c>
      <c r="F175">
        <v>9</v>
      </c>
      <c r="G175">
        <v>1</v>
      </c>
      <c r="H175">
        <v>1</v>
      </c>
      <c r="I175">
        <v>31</v>
      </c>
      <c r="J175" t="s">
        <v>865</v>
      </c>
      <c r="K175">
        <v>898310</v>
      </c>
      <c r="L175">
        <v>1</v>
      </c>
    </row>
    <row r="176" spans="1:12" x14ac:dyDescent="0.2">
      <c r="A176" t="s">
        <v>854</v>
      </c>
      <c r="B176">
        <v>20</v>
      </c>
      <c r="C176" t="s">
        <v>1039</v>
      </c>
      <c r="D176" t="s">
        <v>1037</v>
      </c>
      <c r="E176">
        <v>0.56399999999999995</v>
      </c>
      <c r="F176">
        <v>242</v>
      </c>
      <c r="G176">
        <v>30</v>
      </c>
      <c r="H176">
        <v>41</v>
      </c>
      <c r="I176">
        <v>419</v>
      </c>
      <c r="J176" t="s">
        <v>855</v>
      </c>
      <c r="K176">
        <v>898310</v>
      </c>
      <c r="L176">
        <v>1.263157894736842</v>
      </c>
    </row>
    <row r="177" spans="1:12" x14ac:dyDescent="0.2">
      <c r="A177" t="s">
        <v>876</v>
      </c>
      <c r="B177">
        <v>33</v>
      </c>
      <c r="C177" t="s">
        <v>1039</v>
      </c>
      <c r="D177" t="s">
        <v>1037</v>
      </c>
      <c r="E177">
        <v>0.55600000000000005</v>
      </c>
      <c r="F177">
        <v>29</v>
      </c>
      <c r="G177">
        <v>10</v>
      </c>
      <c r="H177">
        <v>3</v>
      </c>
      <c r="I177">
        <v>65</v>
      </c>
      <c r="J177" t="s">
        <v>877</v>
      </c>
      <c r="K177">
        <v>754783</v>
      </c>
      <c r="L177">
        <v>0.5</v>
      </c>
    </row>
    <row r="178" spans="1:12" x14ac:dyDescent="0.2">
      <c r="A178" t="s">
        <v>906</v>
      </c>
      <c r="B178">
        <v>22</v>
      </c>
      <c r="C178" t="s">
        <v>1039</v>
      </c>
      <c r="D178" t="s">
        <v>1037</v>
      </c>
      <c r="E178">
        <v>0.34100000000000003</v>
      </c>
      <c r="F178">
        <v>19</v>
      </c>
      <c r="G178">
        <v>0</v>
      </c>
      <c r="H178">
        <v>1</v>
      </c>
      <c r="I178">
        <v>18</v>
      </c>
      <c r="J178" t="s">
        <v>907</v>
      </c>
      <c r="K178">
        <v>449155</v>
      </c>
      <c r="L178">
        <v>1</v>
      </c>
    </row>
    <row r="179" spans="1:12" x14ac:dyDescent="0.2">
      <c r="A179" t="s">
        <v>932</v>
      </c>
      <c r="B179">
        <v>24</v>
      </c>
      <c r="C179" t="s">
        <v>1039</v>
      </c>
      <c r="D179" t="s">
        <v>1037</v>
      </c>
      <c r="E179">
        <v>0.47</v>
      </c>
      <c r="F179">
        <v>19</v>
      </c>
      <c r="G179">
        <v>2</v>
      </c>
      <c r="H179">
        <v>3</v>
      </c>
      <c r="I179">
        <v>39</v>
      </c>
      <c r="J179" t="s">
        <v>933</v>
      </c>
      <c r="K179">
        <v>449155</v>
      </c>
      <c r="L179">
        <v>1</v>
      </c>
    </row>
    <row r="180" spans="1:12" x14ac:dyDescent="0.2">
      <c r="A180" t="s">
        <v>976</v>
      </c>
      <c r="B180">
        <v>21</v>
      </c>
      <c r="C180" t="s">
        <v>1039</v>
      </c>
      <c r="D180" t="s">
        <v>1037</v>
      </c>
      <c r="E180">
        <v>0.55900000000000005</v>
      </c>
      <c r="F180">
        <v>18</v>
      </c>
      <c r="G180">
        <v>7</v>
      </c>
      <c r="H180">
        <v>3</v>
      </c>
      <c r="I180">
        <v>44</v>
      </c>
      <c r="J180" t="s">
        <v>977</v>
      </c>
      <c r="K180">
        <v>449155</v>
      </c>
      <c r="L180">
        <v>2.25</v>
      </c>
    </row>
    <row r="181" spans="1:12" x14ac:dyDescent="0.2">
      <c r="A181" t="s">
        <v>924</v>
      </c>
      <c r="B181">
        <v>25</v>
      </c>
      <c r="C181" t="s">
        <v>1039</v>
      </c>
      <c r="D181" t="s">
        <v>1037</v>
      </c>
      <c r="E181">
        <v>0.3</v>
      </c>
      <c r="F181">
        <v>10</v>
      </c>
      <c r="G181">
        <v>2</v>
      </c>
      <c r="H181">
        <v>0</v>
      </c>
      <c r="I181">
        <v>12</v>
      </c>
      <c r="J181" t="s">
        <v>925</v>
      </c>
      <c r="K181">
        <v>449155</v>
      </c>
      <c r="L181">
        <v>0.8</v>
      </c>
    </row>
    <row r="182" spans="1:12" x14ac:dyDescent="0.2">
      <c r="A182" t="s">
        <v>956</v>
      </c>
      <c r="B182">
        <v>24</v>
      </c>
      <c r="C182" t="s">
        <v>1039</v>
      </c>
      <c r="D182" t="s">
        <v>1037</v>
      </c>
      <c r="E182">
        <v>0.58599999999999997</v>
      </c>
      <c r="F182">
        <v>32</v>
      </c>
      <c r="G182">
        <v>5</v>
      </c>
      <c r="H182">
        <v>4</v>
      </c>
      <c r="I182">
        <v>39</v>
      </c>
      <c r="J182" t="s">
        <v>957</v>
      </c>
      <c r="K182">
        <v>449155</v>
      </c>
      <c r="L182">
        <v>0.2</v>
      </c>
    </row>
    <row r="183" spans="1:12" x14ac:dyDescent="0.2">
      <c r="A183" t="s">
        <v>962</v>
      </c>
      <c r="B183">
        <v>24</v>
      </c>
      <c r="C183" t="s">
        <v>1039</v>
      </c>
      <c r="D183" t="s">
        <v>1037</v>
      </c>
      <c r="E183">
        <v>0.59599999999999997</v>
      </c>
      <c r="F183">
        <v>27</v>
      </c>
      <c r="G183">
        <v>7</v>
      </c>
      <c r="H183">
        <v>2</v>
      </c>
      <c r="I183">
        <v>64</v>
      </c>
      <c r="J183" t="s">
        <v>963</v>
      </c>
      <c r="K183">
        <v>449155</v>
      </c>
      <c r="L183">
        <v>1.875</v>
      </c>
    </row>
    <row r="184" spans="1:12" x14ac:dyDescent="0.2">
      <c r="A184" t="s">
        <v>922</v>
      </c>
      <c r="B184">
        <v>23</v>
      </c>
      <c r="C184" t="s">
        <v>1039</v>
      </c>
      <c r="D184" t="s">
        <v>1037</v>
      </c>
      <c r="E184">
        <v>0.3</v>
      </c>
      <c r="F184">
        <v>19</v>
      </c>
      <c r="G184">
        <v>2</v>
      </c>
      <c r="H184">
        <v>4</v>
      </c>
      <c r="I184">
        <v>12</v>
      </c>
      <c r="J184" t="s">
        <v>923</v>
      </c>
      <c r="K184">
        <v>449155</v>
      </c>
      <c r="L184">
        <v>9.0909090909090912E-2</v>
      </c>
    </row>
    <row r="185" spans="1:12" x14ac:dyDescent="0.2">
      <c r="A185" t="s">
        <v>950</v>
      </c>
      <c r="B185">
        <v>21</v>
      </c>
      <c r="C185" t="s">
        <v>1039</v>
      </c>
      <c r="D185" t="s">
        <v>1037</v>
      </c>
      <c r="E185">
        <v>0.5</v>
      </c>
      <c r="F185">
        <v>65</v>
      </c>
      <c r="G185">
        <v>13</v>
      </c>
      <c r="H185">
        <v>5</v>
      </c>
      <c r="I185">
        <v>116</v>
      </c>
      <c r="J185" t="s">
        <v>951</v>
      </c>
      <c r="K185">
        <v>449155</v>
      </c>
      <c r="L185">
        <v>1.411764705882353</v>
      </c>
    </row>
    <row r="186" spans="1:12" x14ac:dyDescent="0.2">
      <c r="A186" t="s">
        <v>974</v>
      </c>
      <c r="B186">
        <v>23</v>
      </c>
      <c r="C186" t="s">
        <v>1039</v>
      </c>
      <c r="D186" t="s">
        <v>1037</v>
      </c>
      <c r="E186">
        <v>0.48699999999999999</v>
      </c>
      <c r="F186">
        <v>70</v>
      </c>
      <c r="G186">
        <v>6</v>
      </c>
      <c r="H186">
        <v>5</v>
      </c>
      <c r="I186">
        <v>133</v>
      </c>
      <c r="J186" t="s">
        <v>975</v>
      </c>
      <c r="K186">
        <v>449155</v>
      </c>
      <c r="L186">
        <v>1.2105263157894737</v>
      </c>
    </row>
    <row r="187" spans="1:12" x14ac:dyDescent="0.2">
      <c r="A187" t="s">
        <v>942</v>
      </c>
      <c r="B187">
        <v>20</v>
      </c>
      <c r="C187" t="s">
        <v>1039</v>
      </c>
      <c r="D187" t="s">
        <v>1037</v>
      </c>
      <c r="E187">
        <v>0.32300000000000001</v>
      </c>
      <c r="F187">
        <v>59</v>
      </c>
      <c r="G187">
        <v>4</v>
      </c>
      <c r="H187">
        <v>1</v>
      </c>
      <c r="I187">
        <v>86</v>
      </c>
      <c r="J187" t="s">
        <v>943</v>
      </c>
      <c r="K187">
        <v>449155</v>
      </c>
      <c r="L187">
        <v>1.1200000000000001</v>
      </c>
    </row>
    <row r="188" spans="1:12" x14ac:dyDescent="0.2">
      <c r="A188" t="s">
        <v>1022</v>
      </c>
      <c r="B188">
        <v>23</v>
      </c>
      <c r="C188" t="s">
        <v>1039</v>
      </c>
      <c r="D188" t="s">
        <v>1037</v>
      </c>
      <c r="E188">
        <v>0.46200000000000002</v>
      </c>
      <c r="F188">
        <v>148</v>
      </c>
      <c r="G188">
        <v>26</v>
      </c>
      <c r="H188">
        <v>10</v>
      </c>
      <c r="I188">
        <v>246</v>
      </c>
      <c r="J188" t="s">
        <v>1023</v>
      </c>
      <c r="K188">
        <v>120000</v>
      </c>
      <c r="L188">
        <v>2.3157894736842106</v>
      </c>
    </row>
    <row r="189" spans="1:12" x14ac:dyDescent="0.2">
      <c r="A189" t="s">
        <v>74</v>
      </c>
      <c r="B189">
        <v>27</v>
      </c>
      <c r="C189" t="s">
        <v>1041</v>
      </c>
      <c r="D189" t="s">
        <v>1037</v>
      </c>
      <c r="E189">
        <v>0.51800000000000002</v>
      </c>
      <c r="F189">
        <v>152</v>
      </c>
      <c r="G189">
        <v>16</v>
      </c>
      <c r="H189">
        <v>4</v>
      </c>
      <c r="I189">
        <v>271</v>
      </c>
      <c r="J189" t="s">
        <v>75</v>
      </c>
      <c r="K189">
        <v>28489237</v>
      </c>
      <c r="L189">
        <v>2.2000000000000002</v>
      </c>
    </row>
    <row r="190" spans="1:12" x14ac:dyDescent="0.2">
      <c r="A190" t="s">
        <v>124</v>
      </c>
      <c r="B190">
        <v>25</v>
      </c>
      <c r="C190" t="s">
        <v>1041</v>
      </c>
      <c r="D190" t="s">
        <v>1037</v>
      </c>
      <c r="E190">
        <v>0.52200000000000002</v>
      </c>
      <c r="F190">
        <v>284</v>
      </c>
      <c r="G190">
        <v>33</v>
      </c>
      <c r="H190">
        <v>34</v>
      </c>
      <c r="I190">
        <v>618</v>
      </c>
      <c r="J190" t="s">
        <v>125</v>
      </c>
      <c r="K190">
        <v>18136364</v>
      </c>
      <c r="L190">
        <v>1.6597938144329898</v>
      </c>
    </row>
    <row r="191" spans="1:12" x14ac:dyDescent="0.2">
      <c r="A191" t="s">
        <v>134</v>
      </c>
      <c r="B191">
        <v>28</v>
      </c>
      <c r="C191" t="s">
        <v>1041</v>
      </c>
      <c r="D191" t="s">
        <v>1037</v>
      </c>
      <c r="E191">
        <v>0.56499999999999995</v>
      </c>
      <c r="F191">
        <v>128</v>
      </c>
      <c r="G191">
        <v>47</v>
      </c>
      <c r="H191">
        <v>19</v>
      </c>
      <c r="I191">
        <v>719</v>
      </c>
      <c r="J191" t="s">
        <v>135</v>
      </c>
      <c r="K191">
        <v>17150000</v>
      </c>
      <c r="L191">
        <v>1.9726027397260273</v>
      </c>
    </row>
    <row r="192" spans="1:12" x14ac:dyDescent="0.2">
      <c r="A192" t="s">
        <v>146</v>
      </c>
      <c r="B192">
        <v>33</v>
      </c>
      <c r="C192" t="s">
        <v>1041</v>
      </c>
      <c r="D192" t="s">
        <v>1037</v>
      </c>
      <c r="E192">
        <v>0.49399999999999999</v>
      </c>
      <c r="F192">
        <v>177</v>
      </c>
      <c r="G192">
        <v>42</v>
      </c>
      <c r="H192">
        <v>42</v>
      </c>
      <c r="I192">
        <v>368</v>
      </c>
      <c r="J192" t="s">
        <v>147</v>
      </c>
      <c r="K192">
        <v>16047100</v>
      </c>
      <c r="L192">
        <v>1.7818181818181817</v>
      </c>
    </row>
    <row r="193" spans="1:12" x14ac:dyDescent="0.2">
      <c r="A193" t="s">
        <v>198</v>
      </c>
      <c r="B193">
        <v>29</v>
      </c>
      <c r="C193" t="s">
        <v>1041</v>
      </c>
      <c r="D193" t="s">
        <v>1037</v>
      </c>
      <c r="E193">
        <v>0.57399999999999995</v>
      </c>
      <c r="F193">
        <v>489</v>
      </c>
      <c r="G193">
        <v>79</v>
      </c>
      <c r="H193">
        <v>42</v>
      </c>
      <c r="I193">
        <v>945</v>
      </c>
      <c r="J193" t="s">
        <v>199</v>
      </c>
      <c r="K193">
        <v>12598243</v>
      </c>
      <c r="L193">
        <v>1.6111111111111112</v>
      </c>
    </row>
    <row r="194" spans="1:12" x14ac:dyDescent="0.2">
      <c r="A194" t="s">
        <v>204</v>
      </c>
      <c r="B194">
        <v>26</v>
      </c>
      <c r="C194" t="s">
        <v>1041</v>
      </c>
      <c r="D194" t="s">
        <v>1037</v>
      </c>
      <c r="E194">
        <v>0.495</v>
      </c>
      <c r="F194">
        <v>142</v>
      </c>
      <c r="G194">
        <v>28</v>
      </c>
      <c r="H194">
        <v>23</v>
      </c>
      <c r="I194">
        <v>389</v>
      </c>
      <c r="J194" t="s">
        <v>205</v>
      </c>
      <c r="K194">
        <v>12250000</v>
      </c>
      <c r="L194">
        <v>1.6170212765957446</v>
      </c>
    </row>
    <row r="195" spans="1:12" x14ac:dyDescent="0.2">
      <c r="A195" t="s">
        <v>236</v>
      </c>
      <c r="B195">
        <v>28</v>
      </c>
      <c r="C195" t="s">
        <v>1041</v>
      </c>
      <c r="D195" t="s">
        <v>1037</v>
      </c>
      <c r="E195">
        <v>0.42699999999999999</v>
      </c>
      <c r="F195">
        <v>103</v>
      </c>
      <c r="G195">
        <v>24</v>
      </c>
      <c r="H195">
        <v>7</v>
      </c>
      <c r="I195">
        <v>246</v>
      </c>
      <c r="J195" t="s">
        <v>237</v>
      </c>
      <c r="K195">
        <v>10047450</v>
      </c>
      <c r="L195">
        <v>1.4722222222222223</v>
      </c>
    </row>
    <row r="196" spans="1:12" x14ac:dyDescent="0.2">
      <c r="A196" t="s">
        <v>244</v>
      </c>
      <c r="B196">
        <v>30</v>
      </c>
      <c r="C196" t="s">
        <v>1041</v>
      </c>
      <c r="D196" t="s">
        <v>1037</v>
      </c>
      <c r="E196">
        <v>0.42399999999999999</v>
      </c>
      <c r="F196">
        <v>110</v>
      </c>
      <c r="G196">
        <v>19</v>
      </c>
      <c r="H196">
        <v>9</v>
      </c>
      <c r="I196">
        <v>102</v>
      </c>
      <c r="J196" t="s">
        <v>245</v>
      </c>
      <c r="K196">
        <v>9720900</v>
      </c>
      <c r="L196">
        <v>1.1071428571428572</v>
      </c>
    </row>
    <row r="197" spans="1:12" x14ac:dyDescent="0.2">
      <c r="A197" t="s">
        <v>302</v>
      </c>
      <c r="B197">
        <v>35</v>
      </c>
      <c r="C197" t="s">
        <v>1041</v>
      </c>
      <c r="D197" t="s">
        <v>1037</v>
      </c>
      <c r="E197">
        <v>0.48599999999999999</v>
      </c>
      <c r="F197">
        <v>204</v>
      </c>
      <c r="G197">
        <v>39</v>
      </c>
      <c r="H197">
        <v>20</v>
      </c>
      <c r="I197">
        <v>193</v>
      </c>
      <c r="J197" t="s">
        <v>303</v>
      </c>
      <c r="K197">
        <v>7969537</v>
      </c>
      <c r="L197">
        <v>1.5249999999999999</v>
      </c>
    </row>
    <row r="198" spans="1:12" x14ac:dyDescent="0.2">
      <c r="A198" t="s">
        <v>416</v>
      </c>
      <c r="B198">
        <v>24</v>
      </c>
      <c r="C198" t="s">
        <v>1041</v>
      </c>
      <c r="D198" t="s">
        <v>1037</v>
      </c>
      <c r="E198">
        <v>0.49399999999999999</v>
      </c>
      <c r="F198">
        <v>112</v>
      </c>
      <c r="G198">
        <v>11</v>
      </c>
      <c r="H198">
        <v>16</v>
      </c>
      <c r="I198">
        <v>183</v>
      </c>
      <c r="J198" t="s">
        <v>417</v>
      </c>
      <c r="K198">
        <v>4548280</v>
      </c>
      <c r="L198">
        <v>1.0454545454545454</v>
      </c>
    </row>
    <row r="199" spans="1:12" x14ac:dyDescent="0.2">
      <c r="A199" t="s">
        <v>438</v>
      </c>
      <c r="B199">
        <v>30</v>
      </c>
      <c r="C199" t="s">
        <v>1041</v>
      </c>
      <c r="D199" t="s">
        <v>1037</v>
      </c>
      <c r="E199">
        <v>0.40799999999999997</v>
      </c>
      <c r="F199">
        <v>122</v>
      </c>
      <c r="G199">
        <v>14</v>
      </c>
      <c r="H199">
        <v>3</v>
      </c>
      <c r="I199">
        <v>134</v>
      </c>
      <c r="J199" t="s">
        <v>439</v>
      </c>
      <c r="K199">
        <v>4102564</v>
      </c>
      <c r="L199">
        <v>3.6666666666666665</v>
      </c>
    </row>
    <row r="200" spans="1:12" x14ac:dyDescent="0.2">
      <c r="A200" t="s">
        <v>482</v>
      </c>
      <c r="B200">
        <v>27</v>
      </c>
      <c r="C200" t="s">
        <v>1041</v>
      </c>
      <c r="D200" t="s">
        <v>1037</v>
      </c>
      <c r="E200">
        <v>0.48799999999999999</v>
      </c>
      <c r="F200">
        <v>89</v>
      </c>
      <c r="G200">
        <v>30</v>
      </c>
      <c r="H200">
        <v>20</v>
      </c>
      <c r="I200">
        <v>194</v>
      </c>
      <c r="J200" t="s">
        <v>483</v>
      </c>
      <c r="K200">
        <v>3623000</v>
      </c>
      <c r="L200">
        <v>2</v>
      </c>
    </row>
    <row r="201" spans="1:12" x14ac:dyDescent="0.2">
      <c r="A201" t="s">
        <v>510</v>
      </c>
      <c r="B201">
        <v>21</v>
      </c>
      <c r="C201" t="s">
        <v>1041</v>
      </c>
      <c r="D201" t="s">
        <v>1037</v>
      </c>
      <c r="E201">
        <v>0.50700000000000001</v>
      </c>
      <c r="F201">
        <v>105</v>
      </c>
      <c r="G201">
        <v>10</v>
      </c>
      <c r="H201">
        <v>6</v>
      </c>
      <c r="I201">
        <v>161</v>
      </c>
      <c r="J201" t="s">
        <v>511</v>
      </c>
      <c r="K201">
        <v>3219480</v>
      </c>
      <c r="L201">
        <v>1.3809523809523809</v>
      </c>
    </row>
    <row r="202" spans="1:12" x14ac:dyDescent="0.2">
      <c r="A202" t="s">
        <v>564</v>
      </c>
      <c r="B202">
        <v>24</v>
      </c>
      <c r="C202" t="s">
        <v>1041</v>
      </c>
      <c r="D202" t="s">
        <v>1037</v>
      </c>
      <c r="E202">
        <v>0.41699999999999998</v>
      </c>
      <c r="F202">
        <v>78</v>
      </c>
      <c r="G202">
        <v>12</v>
      </c>
      <c r="H202">
        <v>5</v>
      </c>
      <c r="I202">
        <v>107</v>
      </c>
      <c r="J202" t="s">
        <v>565</v>
      </c>
      <c r="K202">
        <v>2443440</v>
      </c>
      <c r="L202">
        <v>0.85</v>
      </c>
    </row>
    <row r="203" spans="1:12" x14ac:dyDescent="0.2">
      <c r="A203" t="s">
        <v>610</v>
      </c>
      <c r="B203">
        <v>26</v>
      </c>
      <c r="C203" t="s">
        <v>1041</v>
      </c>
      <c r="D203" t="s">
        <v>1037</v>
      </c>
      <c r="E203">
        <v>0.42</v>
      </c>
      <c r="F203">
        <v>115</v>
      </c>
      <c r="G203">
        <v>13</v>
      </c>
      <c r="H203">
        <v>7</v>
      </c>
      <c r="I203">
        <v>119</v>
      </c>
      <c r="J203" t="s">
        <v>611</v>
      </c>
      <c r="K203">
        <v>2000000</v>
      </c>
      <c r="L203">
        <v>1.8235294117647058</v>
      </c>
    </row>
    <row r="204" spans="1:12" x14ac:dyDescent="0.2">
      <c r="A204" t="s">
        <v>638</v>
      </c>
      <c r="B204">
        <v>22</v>
      </c>
      <c r="C204" t="s">
        <v>1041</v>
      </c>
      <c r="D204" t="s">
        <v>1037</v>
      </c>
      <c r="E204">
        <v>0.438</v>
      </c>
      <c r="F204">
        <v>23</v>
      </c>
      <c r="G204">
        <v>9</v>
      </c>
      <c r="H204">
        <v>4</v>
      </c>
      <c r="I204">
        <v>31</v>
      </c>
      <c r="J204" t="s">
        <v>639</v>
      </c>
      <c r="K204">
        <v>1780152</v>
      </c>
      <c r="L204">
        <v>0.76923076923076927</v>
      </c>
    </row>
    <row r="205" spans="1:12" x14ac:dyDescent="0.2">
      <c r="A205" t="s">
        <v>662</v>
      </c>
      <c r="B205">
        <v>26</v>
      </c>
      <c r="C205" t="s">
        <v>1041</v>
      </c>
      <c r="D205" t="s">
        <v>1037</v>
      </c>
      <c r="E205">
        <v>0.35799999999999998</v>
      </c>
      <c r="F205">
        <v>90</v>
      </c>
      <c r="G205">
        <v>15</v>
      </c>
      <c r="H205">
        <v>4</v>
      </c>
      <c r="I205">
        <v>99</v>
      </c>
      <c r="J205" t="s">
        <v>663</v>
      </c>
      <c r="K205">
        <v>1678854</v>
      </c>
      <c r="L205">
        <v>0.94736842105263153</v>
      </c>
    </row>
    <row r="206" spans="1:12" x14ac:dyDescent="0.2">
      <c r="A206" t="s">
        <v>680</v>
      </c>
      <c r="B206">
        <v>22</v>
      </c>
      <c r="C206" t="s">
        <v>1041</v>
      </c>
      <c r="D206" t="s">
        <v>1037</v>
      </c>
      <c r="E206">
        <v>0.50600000000000001</v>
      </c>
      <c r="F206">
        <v>272</v>
      </c>
      <c r="G206">
        <v>41</v>
      </c>
      <c r="H206">
        <v>24</v>
      </c>
      <c r="I206">
        <v>604</v>
      </c>
      <c r="J206" t="s">
        <v>681</v>
      </c>
      <c r="K206">
        <v>1663861</v>
      </c>
      <c r="L206">
        <v>1.3289473684210527</v>
      </c>
    </row>
    <row r="207" spans="1:12" x14ac:dyDescent="0.2">
      <c r="A207" t="s">
        <v>670</v>
      </c>
      <c r="B207">
        <v>23</v>
      </c>
      <c r="C207" t="s">
        <v>1041</v>
      </c>
      <c r="D207" t="s">
        <v>1037</v>
      </c>
      <c r="E207">
        <v>0.51500000000000001</v>
      </c>
      <c r="F207">
        <v>163</v>
      </c>
      <c r="G207">
        <v>51</v>
      </c>
      <c r="H207">
        <v>12</v>
      </c>
      <c r="I207">
        <v>559</v>
      </c>
      <c r="J207" t="s">
        <v>671</v>
      </c>
      <c r="K207">
        <v>1663861</v>
      </c>
      <c r="L207">
        <v>1.25</v>
      </c>
    </row>
    <row r="208" spans="1:12" x14ac:dyDescent="0.2">
      <c r="A208" t="s">
        <v>708</v>
      </c>
      <c r="B208">
        <v>30</v>
      </c>
      <c r="C208" t="s">
        <v>1041</v>
      </c>
      <c r="D208" t="s">
        <v>1037</v>
      </c>
      <c r="E208">
        <v>0.56599999999999995</v>
      </c>
      <c r="F208">
        <v>197</v>
      </c>
      <c r="G208">
        <v>28</v>
      </c>
      <c r="H208">
        <v>26</v>
      </c>
      <c r="I208">
        <v>274</v>
      </c>
      <c r="J208" t="s">
        <v>709</v>
      </c>
      <c r="K208">
        <v>1620564</v>
      </c>
      <c r="L208">
        <v>1.96</v>
      </c>
    </row>
    <row r="209" spans="1:12" x14ac:dyDescent="0.2">
      <c r="A209" t="s">
        <v>798</v>
      </c>
      <c r="B209">
        <v>24</v>
      </c>
      <c r="C209" t="s">
        <v>1041</v>
      </c>
      <c r="D209" t="s">
        <v>1037</v>
      </c>
      <c r="E209">
        <v>0.65600000000000003</v>
      </c>
      <c r="F209">
        <v>27</v>
      </c>
      <c r="G209">
        <v>1</v>
      </c>
      <c r="H209">
        <v>6</v>
      </c>
      <c r="I209">
        <v>32</v>
      </c>
      <c r="J209" t="s">
        <v>799</v>
      </c>
      <c r="K209">
        <v>1517981</v>
      </c>
      <c r="L209">
        <v>0.6</v>
      </c>
    </row>
    <row r="210" spans="1:12" x14ac:dyDescent="0.2">
      <c r="A210" t="s">
        <v>790</v>
      </c>
      <c r="B210">
        <v>27</v>
      </c>
      <c r="C210" t="s">
        <v>1041</v>
      </c>
      <c r="D210" t="s">
        <v>1037</v>
      </c>
      <c r="E210">
        <v>0.56899999999999995</v>
      </c>
      <c r="F210">
        <v>71</v>
      </c>
      <c r="G210">
        <v>28</v>
      </c>
      <c r="H210">
        <v>6</v>
      </c>
      <c r="I210">
        <v>146</v>
      </c>
      <c r="J210" t="s">
        <v>791</v>
      </c>
      <c r="K210">
        <v>1517981</v>
      </c>
      <c r="L210">
        <v>0.89473684210526316</v>
      </c>
    </row>
    <row r="211" spans="1:12" x14ac:dyDescent="0.2">
      <c r="A211" t="s">
        <v>872</v>
      </c>
      <c r="B211">
        <v>31</v>
      </c>
      <c r="C211" t="s">
        <v>1041</v>
      </c>
      <c r="D211" t="s">
        <v>1037</v>
      </c>
      <c r="E211">
        <v>0.50900000000000001</v>
      </c>
      <c r="F211">
        <v>225</v>
      </c>
      <c r="G211">
        <v>32</v>
      </c>
      <c r="H211">
        <v>15</v>
      </c>
      <c r="I211">
        <v>505</v>
      </c>
      <c r="J211" t="s">
        <v>873</v>
      </c>
      <c r="K211">
        <v>776983</v>
      </c>
      <c r="L211">
        <v>2.2580645161290325</v>
      </c>
    </row>
    <row r="212" spans="1:12" x14ac:dyDescent="0.2">
      <c r="A212" t="s">
        <v>900</v>
      </c>
      <c r="B212">
        <v>25</v>
      </c>
      <c r="C212" t="s">
        <v>1041</v>
      </c>
      <c r="D212" t="s">
        <v>1037</v>
      </c>
      <c r="E212">
        <v>0.48399999999999999</v>
      </c>
      <c r="F212">
        <v>77</v>
      </c>
      <c r="G212">
        <v>15</v>
      </c>
      <c r="H212">
        <v>2</v>
      </c>
      <c r="I212">
        <v>245</v>
      </c>
      <c r="J212" t="s">
        <v>901</v>
      </c>
      <c r="K212">
        <v>449155</v>
      </c>
      <c r="L212">
        <v>1.625</v>
      </c>
    </row>
    <row r="213" spans="1:12" x14ac:dyDescent="0.2">
      <c r="A213" t="s">
        <v>988</v>
      </c>
      <c r="B213">
        <v>32</v>
      </c>
      <c r="C213" t="s">
        <v>1041</v>
      </c>
      <c r="D213" t="s">
        <v>1037</v>
      </c>
      <c r="E213">
        <v>0.52300000000000002</v>
      </c>
      <c r="F213">
        <v>127</v>
      </c>
      <c r="G213">
        <v>15</v>
      </c>
      <c r="H213">
        <v>5</v>
      </c>
      <c r="I213">
        <v>242</v>
      </c>
      <c r="J213" t="s">
        <v>989</v>
      </c>
      <c r="K213">
        <v>432890</v>
      </c>
      <c r="L213">
        <v>2.0909090909090908</v>
      </c>
    </row>
    <row r="214" spans="1:12" x14ac:dyDescent="0.2">
      <c r="A214" t="s">
        <v>990</v>
      </c>
      <c r="B214">
        <v>25</v>
      </c>
      <c r="C214" t="s">
        <v>1041</v>
      </c>
      <c r="D214" t="s">
        <v>1037</v>
      </c>
      <c r="E214">
        <v>0.56399999999999995</v>
      </c>
      <c r="F214">
        <v>42</v>
      </c>
      <c r="G214">
        <v>1</v>
      </c>
      <c r="H214">
        <v>5</v>
      </c>
      <c r="I214">
        <v>72</v>
      </c>
      <c r="J214" t="s">
        <v>991</v>
      </c>
      <c r="K214">
        <v>430729</v>
      </c>
      <c r="L214">
        <v>1.1000000000000001</v>
      </c>
    </row>
    <row r="215" spans="1:12" x14ac:dyDescent="0.2">
      <c r="A215" t="s">
        <v>994</v>
      </c>
      <c r="B215">
        <v>23</v>
      </c>
      <c r="C215" t="s">
        <v>1041</v>
      </c>
      <c r="D215" t="s">
        <v>1037</v>
      </c>
      <c r="E215">
        <v>0.67500000000000004</v>
      </c>
      <c r="F215">
        <v>95</v>
      </c>
      <c r="G215">
        <v>8</v>
      </c>
      <c r="H215">
        <v>2</v>
      </c>
      <c r="I215">
        <v>156</v>
      </c>
      <c r="J215" t="s">
        <v>995</v>
      </c>
      <c r="K215">
        <v>396081</v>
      </c>
      <c r="L215">
        <v>0.80952380952380953</v>
      </c>
    </row>
    <row r="216" spans="1:12" x14ac:dyDescent="0.2">
      <c r="A216" t="s">
        <v>1020</v>
      </c>
      <c r="B216">
        <v>23</v>
      </c>
      <c r="C216" t="s">
        <v>1041</v>
      </c>
      <c r="D216" t="s">
        <v>1037</v>
      </c>
      <c r="E216">
        <v>0.44400000000000001</v>
      </c>
      <c r="F216">
        <v>60</v>
      </c>
      <c r="G216">
        <v>8</v>
      </c>
      <c r="H216">
        <v>13</v>
      </c>
      <c r="I216">
        <v>95</v>
      </c>
      <c r="J216" t="s">
        <v>1021</v>
      </c>
      <c r="K216">
        <v>154433</v>
      </c>
      <c r="L216">
        <v>1.1333333333333333</v>
      </c>
    </row>
    <row r="217" spans="1:12" x14ac:dyDescent="0.2">
      <c r="A217" t="s">
        <v>1026</v>
      </c>
      <c r="B217">
        <v>22</v>
      </c>
      <c r="C217" t="s">
        <v>1041</v>
      </c>
      <c r="D217" t="s">
        <v>1037</v>
      </c>
      <c r="E217">
        <v>0.48799999999999999</v>
      </c>
      <c r="F217">
        <v>45</v>
      </c>
      <c r="G217">
        <v>4</v>
      </c>
      <c r="H217">
        <v>3</v>
      </c>
      <c r="I217">
        <v>91</v>
      </c>
      <c r="J217" t="s">
        <v>1027</v>
      </c>
      <c r="K217">
        <v>49510</v>
      </c>
      <c r="L217">
        <v>1.4166666666666667</v>
      </c>
    </row>
    <row r="218" spans="1:12" x14ac:dyDescent="0.2">
      <c r="A218" t="s">
        <v>20</v>
      </c>
      <c r="B218">
        <v>32</v>
      </c>
      <c r="C218" t="s">
        <v>1040</v>
      </c>
      <c r="D218" t="s">
        <v>1037</v>
      </c>
      <c r="E218">
        <v>0.60799999999999998</v>
      </c>
      <c r="F218">
        <v>247</v>
      </c>
      <c r="G218">
        <v>25</v>
      </c>
      <c r="H218">
        <v>45</v>
      </c>
      <c r="I218">
        <v>943</v>
      </c>
      <c r="J218" t="s">
        <v>21</v>
      </c>
      <c r="K218">
        <v>40108950</v>
      </c>
      <c r="L218">
        <v>1.625</v>
      </c>
    </row>
    <row r="219" spans="1:12" x14ac:dyDescent="0.2">
      <c r="A219" t="s">
        <v>30</v>
      </c>
      <c r="B219">
        <v>31</v>
      </c>
      <c r="C219" t="s">
        <v>1040</v>
      </c>
      <c r="D219" t="s">
        <v>1037</v>
      </c>
      <c r="E219">
        <v>0.51400000000000001</v>
      </c>
      <c r="F219">
        <v>359</v>
      </c>
      <c r="G219">
        <v>108</v>
      </c>
      <c r="H219">
        <v>18</v>
      </c>
      <c r="I219">
        <v>1116</v>
      </c>
      <c r="J219" t="s">
        <v>31</v>
      </c>
      <c r="K219">
        <v>34379100</v>
      </c>
      <c r="L219">
        <v>3.3853211009174311</v>
      </c>
    </row>
    <row r="220" spans="1:12" x14ac:dyDescent="0.2">
      <c r="A220" t="s">
        <v>34</v>
      </c>
      <c r="B220">
        <v>28</v>
      </c>
      <c r="C220" t="s">
        <v>1040</v>
      </c>
      <c r="D220" t="s">
        <v>1037</v>
      </c>
      <c r="E220">
        <v>0.55600000000000005</v>
      </c>
      <c r="F220">
        <v>419</v>
      </c>
      <c r="G220">
        <v>55</v>
      </c>
      <c r="H220">
        <v>51</v>
      </c>
      <c r="I220">
        <v>1210</v>
      </c>
      <c r="J220" t="s">
        <v>35</v>
      </c>
      <c r="K220">
        <v>34358850</v>
      </c>
      <c r="L220">
        <v>2.05607476635514</v>
      </c>
    </row>
    <row r="221" spans="1:12" x14ac:dyDescent="0.2">
      <c r="A221" t="s">
        <v>36</v>
      </c>
      <c r="B221">
        <v>29</v>
      </c>
      <c r="C221" t="s">
        <v>1040</v>
      </c>
      <c r="D221" t="s">
        <v>1037</v>
      </c>
      <c r="E221">
        <v>0.54600000000000004</v>
      </c>
      <c r="F221">
        <v>406</v>
      </c>
      <c r="G221">
        <v>74</v>
      </c>
      <c r="H221">
        <v>9</v>
      </c>
      <c r="I221">
        <v>1385</v>
      </c>
      <c r="J221" t="s">
        <v>37</v>
      </c>
      <c r="K221">
        <v>33051724</v>
      </c>
      <c r="L221">
        <v>2.0786516853932584</v>
      </c>
    </row>
    <row r="222" spans="1:12" x14ac:dyDescent="0.2">
      <c r="A222" t="s">
        <v>44</v>
      </c>
      <c r="B222">
        <v>32</v>
      </c>
      <c r="C222" t="s">
        <v>1040</v>
      </c>
      <c r="D222" t="s">
        <v>1037</v>
      </c>
      <c r="E222">
        <v>0.52200000000000002</v>
      </c>
      <c r="F222">
        <v>186</v>
      </c>
      <c r="G222">
        <v>16</v>
      </c>
      <c r="H222">
        <v>2</v>
      </c>
      <c r="I222">
        <v>305</v>
      </c>
      <c r="J222" t="s">
        <v>45</v>
      </c>
      <c r="K222">
        <v>31258256</v>
      </c>
      <c r="L222">
        <v>1.6578947368421053</v>
      </c>
    </row>
    <row r="223" spans="1:12" x14ac:dyDescent="0.2">
      <c r="A223" t="s">
        <v>48</v>
      </c>
      <c r="B223">
        <v>26</v>
      </c>
      <c r="C223" t="s">
        <v>1040</v>
      </c>
      <c r="D223" t="s">
        <v>1037</v>
      </c>
      <c r="E223">
        <v>0.49299999999999999</v>
      </c>
      <c r="F223">
        <v>405</v>
      </c>
      <c r="G223">
        <v>64</v>
      </c>
      <c r="H223">
        <v>37</v>
      </c>
      <c r="I223">
        <v>1196</v>
      </c>
      <c r="J223" t="s">
        <v>49</v>
      </c>
      <c r="K223">
        <v>30559200</v>
      </c>
      <c r="L223">
        <v>1.9230769230769231</v>
      </c>
    </row>
    <row r="224" spans="1:12" x14ac:dyDescent="0.2">
      <c r="A224" t="s">
        <v>72</v>
      </c>
      <c r="B224">
        <v>30</v>
      </c>
      <c r="C224" t="s">
        <v>1040</v>
      </c>
      <c r="D224" t="s">
        <v>1037</v>
      </c>
      <c r="E224">
        <v>0.53700000000000003</v>
      </c>
      <c r="F224">
        <v>258</v>
      </c>
      <c r="G224">
        <v>52</v>
      </c>
      <c r="H224">
        <v>14</v>
      </c>
      <c r="I224">
        <v>863</v>
      </c>
      <c r="J224" t="s">
        <v>73</v>
      </c>
      <c r="K224">
        <v>28500000</v>
      </c>
      <c r="L224">
        <v>1.9890109890109891</v>
      </c>
    </row>
    <row r="225" spans="1:12" x14ac:dyDescent="0.2">
      <c r="A225" t="s">
        <v>78</v>
      </c>
      <c r="B225">
        <v>26</v>
      </c>
      <c r="C225" t="s">
        <v>1040</v>
      </c>
      <c r="D225" t="s">
        <v>1037</v>
      </c>
      <c r="E225">
        <v>0.6</v>
      </c>
      <c r="F225">
        <v>671</v>
      </c>
      <c r="G225">
        <v>72</v>
      </c>
      <c r="H225">
        <v>73</v>
      </c>
      <c r="I225">
        <v>1717</v>
      </c>
      <c r="J225" t="s">
        <v>79</v>
      </c>
      <c r="K225">
        <v>27528090</v>
      </c>
      <c r="L225">
        <v>1.7246376811594204</v>
      </c>
    </row>
    <row r="226" spans="1:12" x14ac:dyDescent="0.2">
      <c r="A226" t="s">
        <v>108</v>
      </c>
      <c r="B226">
        <v>24</v>
      </c>
      <c r="C226" t="s">
        <v>1040</v>
      </c>
      <c r="D226" t="s">
        <v>1037</v>
      </c>
      <c r="E226">
        <v>0.56399999999999995</v>
      </c>
      <c r="F226">
        <v>742</v>
      </c>
      <c r="G226">
        <v>76</v>
      </c>
      <c r="H226">
        <v>33</v>
      </c>
      <c r="I226">
        <v>1260</v>
      </c>
      <c r="J226" t="s">
        <v>109</v>
      </c>
      <c r="K226">
        <v>19800000</v>
      </c>
      <c r="L226">
        <v>1.948356807511737</v>
      </c>
    </row>
    <row r="227" spans="1:12" x14ac:dyDescent="0.2">
      <c r="A227" t="s">
        <v>112</v>
      </c>
      <c r="B227">
        <v>32</v>
      </c>
      <c r="C227" t="s">
        <v>1040</v>
      </c>
      <c r="D227" t="s">
        <v>1037</v>
      </c>
      <c r="E227">
        <v>0.54200000000000004</v>
      </c>
      <c r="F227">
        <v>211</v>
      </c>
      <c r="G227">
        <v>30</v>
      </c>
      <c r="H227">
        <v>10</v>
      </c>
      <c r="I227">
        <v>676</v>
      </c>
      <c r="J227" t="s">
        <v>113</v>
      </c>
      <c r="K227">
        <v>19500000</v>
      </c>
      <c r="L227">
        <v>1.7674418604651163</v>
      </c>
    </row>
    <row r="228" spans="1:12" x14ac:dyDescent="0.2">
      <c r="A228" t="s">
        <v>116</v>
      </c>
      <c r="B228">
        <v>26</v>
      </c>
      <c r="C228" t="s">
        <v>1040</v>
      </c>
      <c r="D228" t="s">
        <v>1037</v>
      </c>
      <c r="E228">
        <v>0.49099999999999999</v>
      </c>
      <c r="F228">
        <v>250</v>
      </c>
      <c r="G228">
        <v>35</v>
      </c>
      <c r="H228">
        <v>58</v>
      </c>
      <c r="I228">
        <v>1205</v>
      </c>
      <c r="J228" t="s">
        <v>117</v>
      </c>
      <c r="K228">
        <v>19050000</v>
      </c>
      <c r="L228">
        <v>1.3944954128440368</v>
      </c>
    </row>
    <row r="229" spans="1:12" x14ac:dyDescent="0.2">
      <c r="A229" t="s">
        <v>120</v>
      </c>
      <c r="B229">
        <v>26</v>
      </c>
      <c r="C229" t="s">
        <v>1040</v>
      </c>
      <c r="D229" t="s">
        <v>1037</v>
      </c>
      <c r="E229">
        <v>0.51600000000000001</v>
      </c>
      <c r="F229">
        <v>723</v>
      </c>
      <c r="G229">
        <v>64</v>
      </c>
      <c r="H229">
        <v>18</v>
      </c>
      <c r="I229">
        <v>1712</v>
      </c>
      <c r="J229" t="s">
        <v>121</v>
      </c>
      <c r="K229">
        <v>18900000</v>
      </c>
      <c r="L229">
        <v>1.7717842323651452</v>
      </c>
    </row>
    <row r="230" spans="1:12" x14ac:dyDescent="0.2">
      <c r="A230" t="s">
        <v>144</v>
      </c>
      <c r="B230">
        <v>29</v>
      </c>
      <c r="C230" t="s">
        <v>1040</v>
      </c>
      <c r="D230" t="s">
        <v>1037</v>
      </c>
      <c r="E230">
        <v>0.65400000000000003</v>
      </c>
      <c r="F230">
        <v>248</v>
      </c>
      <c r="G230">
        <v>46</v>
      </c>
      <c r="H230">
        <v>14</v>
      </c>
      <c r="I230">
        <v>974</v>
      </c>
      <c r="J230" t="s">
        <v>145</v>
      </c>
      <c r="K230">
        <v>16071429</v>
      </c>
      <c r="L230">
        <v>2.096774193548387</v>
      </c>
    </row>
    <row r="231" spans="1:12" x14ac:dyDescent="0.2">
      <c r="A231" t="s">
        <v>154</v>
      </c>
      <c r="B231">
        <v>33</v>
      </c>
      <c r="C231" t="s">
        <v>1040</v>
      </c>
      <c r="D231" t="s">
        <v>1037</v>
      </c>
      <c r="E231">
        <v>0.57299999999999995</v>
      </c>
      <c r="F231">
        <v>260</v>
      </c>
      <c r="G231">
        <v>92</v>
      </c>
      <c r="H231">
        <v>56</v>
      </c>
      <c r="I231">
        <v>654</v>
      </c>
      <c r="J231" t="s">
        <v>155</v>
      </c>
      <c r="K231">
        <v>15365853</v>
      </c>
      <c r="L231">
        <v>1.7611940298507462</v>
      </c>
    </row>
    <row r="232" spans="1:12" x14ac:dyDescent="0.2">
      <c r="A232" t="s">
        <v>156</v>
      </c>
      <c r="B232">
        <v>28</v>
      </c>
      <c r="C232" t="s">
        <v>1040</v>
      </c>
      <c r="D232" t="s">
        <v>1037</v>
      </c>
      <c r="E232">
        <v>0.58099999999999996</v>
      </c>
      <c r="F232">
        <v>168</v>
      </c>
      <c r="G232">
        <v>33</v>
      </c>
      <c r="H232">
        <v>13</v>
      </c>
      <c r="I232">
        <v>655</v>
      </c>
      <c r="J232" t="s">
        <v>157</v>
      </c>
      <c r="K232">
        <v>15000000</v>
      </c>
      <c r="L232">
        <v>1.4848484848484849</v>
      </c>
    </row>
    <row r="233" spans="1:12" x14ac:dyDescent="0.2">
      <c r="A233" t="s">
        <v>158</v>
      </c>
      <c r="B233">
        <v>37</v>
      </c>
      <c r="C233" t="s">
        <v>1040</v>
      </c>
      <c r="D233" t="s">
        <v>1037</v>
      </c>
      <c r="E233">
        <v>0.504</v>
      </c>
      <c r="F233">
        <v>221</v>
      </c>
      <c r="G233">
        <v>57</v>
      </c>
      <c r="H233">
        <v>35</v>
      </c>
      <c r="I233">
        <v>275</v>
      </c>
      <c r="J233" t="s">
        <v>159</v>
      </c>
      <c r="K233">
        <v>15000000</v>
      </c>
      <c r="L233">
        <v>2.1194029850746268</v>
      </c>
    </row>
    <row r="234" spans="1:12" x14ac:dyDescent="0.2">
      <c r="A234" t="s">
        <v>172</v>
      </c>
      <c r="B234">
        <v>32</v>
      </c>
      <c r="C234" t="s">
        <v>1040</v>
      </c>
      <c r="D234" t="s">
        <v>1037</v>
      </c>
      <c r="E234">
        <v>0.56799999999999995</v>
      </c>
      <c r="F234">
        <v>423</v>
      </c>
      <c r="G234">
        <v>74</v>
      </c>
      <c r="H234">
        <v>40</v>
      </c>
      <c r="I234">
        <v>823</v>
      </c>
      <c r="J234" t="s">
        <v>173</v>
      </c>
      <c r="K234">
        <v>13545000</v>
      </c>
      <c r="L234">
        <v>2.1240875912408761</v>
      </c>
    </row>
    <row r="235" spans="1:12" x14ac:dyDescent="0.2">
      <c r="A235" t="s">
        <v>192</v>
      </c>
      <c r="B235">
        <v>35</v>
      </c>
      <c r="C235" t="s">
        <v>1040</v>
      </c>
      <c r="D235" t="s">
        <v>1037</v>
      </c>
      <c r="E235">
        <v>0.51500000000000001</v>
      </c>
      <c r="F235">
        <v>144</v>
      </c>
      <c r="G235">
        <v>31</v>
      </c>
      <c r="H235">
        <v>18</v>
      </c>
      <c r="I235">
        <v>282</v>
      </c>
      <c r="J235" t="s">
        <v>193</v>
      </c>
      <c r="K235">
        <v>12800000</v>
      </c>
      <c r="L235">
        <v>2.6190476190476191</v>
      </c>
    </row>
    <row r="236" spans="1:12" x14ac:dyDescent="0.2">
      <c r="A236" t="s">
        <v>200</v>
      </c>
      <c r="B236">
        <v>27</v>
      </c>
      <c r="C236" t="s">
        <v>1040</v>
      </c>
      <c r="D236" t="s">
        <v>1037</v>
      </c>
      <c r="E236">
        <v>0.52900000000000003</v>
      </c>
      <c r="F236">
        <v>14</v>
      </c>
      <c r="G236">
        <v>2</v>
      </c>
      <c r="H236">
        <v>0</v>
      </c>
      <c r="I236">
        <v>62</v>
      </c>
      <c r="J236" t="s">
        <v>201</v>
      </c>
      <c r="K236">
        <v>12500000</v>
      </c>
      <c r="L236">
        <v>1.25</v>
      </c>
    </row>
    <row r="237" spans="1:12" x14ac:dyDescent="0.2">
      <c r="A237" t="s">
        <v>212</v>
      </c>
      <c r="B237">
        <v>28</v>
      </c>
      <c r="C237" t="s">
        <v>1040</v>
      </c>
      <c r="D237" t="s">
        <v>1037</v>
      </c>
      <c r="E237">
        <v>0.54600000000000004</v>
      </c>
      <c r="F237">
        <v>235</v>
      </c>
      <c r="G237">
        <v>61</v>
      </c>
      <c r="H237">
        <v>17</v>
      </c>
      <c r="I237">
        <v>327</v>
      </c>
      <c r="J237" t="s">
        <v>213</v>
      </c>
      <c r="K237">
        <v>11709091</v>
      </c>
      <c r="L237">
        <v>1.9454545454545455</v>
      </c>
    </row>
    <row r="238" spans="1:12" x14ac:dyDescent="0.2">
      <c r="A238" t="s">
        <v>240</v>
      </c>
      <c r="B238">
        <v>22</v>
      </c>
      <c r="C238" t="s">
        <v>1040</v>
      </c>
      <c r="D238" t="s">
        <v>1037</v>
      </c>
      <c r="E238">
        <v>0.53</v>
      </c>
      <c r="F238">
        <v>472</v>
      </c>
      <c r="G238">
        <v>75</v>
      </c>
      <c r="H238">
        <v>31</v>
      </c>
      <c r="I238">
        <v>1692</v>
      </c>
      <c r="J238" t="s">
        <v>241</v>
      </c>
      <c r="K238">
        <v>9897120</v>
      </c>
      <c r="L238">
        <v>1.6140350877192982</v>
      </c>
    </row>
    <row r="239" spans="1:12" x14ac:dyDescent="0.2">
      <c r="A239" t="s">
        <v>278</v>
      </c>
      <c r="B239">
        <v>25</v>
      </c>
      <c r="C239" t="s">
        <v>1040</v>
      </c>
      <c r="D239" t="s">
        <v>1037</v>
      </c>
      <c r="E239">
        <v>0.45800000000000002</v>
      </c>
      <c r="F239">
        <v>201</v>
      </c>
      <c r="G239">
        <v>53</v>
      </c>
      <c r="H239">
        <v>9</v>
      </c>
      <c r="I239">
        <v>613</v>
      </c>
      <c r="J239" t="s">
        <v>279</v>
      </c>
      <c r="K239">
        <v>8840580</v>
      </c>
      <c r="L239">
        <v>2.1749999999999998</v>
      </c>
    </row>
    <row r="240" spans="1:12" x14ac:dyDescent="0.2">
      <c r="A240" t="s">
        <v>314</v>
      </c>
      <c r="B240">
        <v>23</v>
      </c>
      <c r="C240" t="s">
        <v>1040</v>
      </c>
      <c r="D240" t="s">
        <v>1037</v>
      </c>
      <c r="E240">
        <v>0.54600000000000004</v>
      </c>
      <c r="F240">
        <v>110</v>
      </c>
      <c r="G240">
        <v>19</v>
      </c>
      <c r="H240">
        <v>12</v>
      </c>
      <c r="I240">
        <v>344</v>
      </c>
      <c r="J240" t="s">
        <v>315</v>
      </c>
      <c r="K240">
        <v>7422000</v>
      </c>
      <c r="L240">
        <v>1.5172413793103448</v>
      </c>
    </row>
    <row r="241" spans="1:12" x14ac:dyDescent="0.2">
      <c r="A241" t="s">
        <v>316</v>
      </c>
      <c r="B241">
        <v>29</v>
      </c>
      <c r="C241" t="s">
        <v>1040</v>
      </c>
      <c r="D241" t="s">
        <v>1037</v>
      </c>
      <c r="E241">
        <v>0.61599999999999999</v>
      </c>
      <c r="F241">
        <v>221</v>
      </c>
      <c r="G241">
        <v>20</v>
      </c>
      <c r="H241">
        <v>6</v>
      </c>
      <c r="I241">
        <v>899</v>
      </c>
      <c r="J241" t="s">
        <v>317</v>
      </c>
      <c r="K241">
        <v>7333333</v>
      </c>
      <c r="L241">
        <v>1.6037735849056605</v>
      </c>
    </row>
    <row r="242" spans="1:12" x14ac:dyDescent="0.2">
      <c r="A242" t="s">
        <v>324</v>
      </c>
      <c r="B242">
        <v>19</v>
      </c>
      <c r="C242" t="s">
        <v>1040</v>
      </c>
      <c r="D242" t="s">
        <v>1037</v>
      </c>
      <c r="E242">
        <v>0.53400000000000003</v>
      </c>
      <c r="F242">
        <v>327</v>
      </c>
      <c r="G242">
        <v>64</v>
      </c>
      <c r="H242">
        <v>46</v>
      </c>
      <c r="I242">
        <v>655</v>
      </c>
      <c r="J242" t="s">
        <v>325</v>
      </c>
      <c r="K242">
        <v>7068360</v>
      </c>
      <c r="L242">
        <v>1.010204081632653</v>
      </c>
    </row>
    <row r="243" spans="1:12" x14ac:dyDescent="0.2">
      <c r="A243" t="s">
        <v>334</v>
      </c>
      <c r="B243">
        <v>23</v>
      </c>
      <c r="C243" t="s">
        <v>1040</v>
      </c>
      <c r="D243" t="s">
        <v>1037</v>
      </c>
      <c r="E243">
        <v>0.59399999999999997</v>
      </c>
      <c r="F243">
        <v>268</v>
      </c>
      <c r="G243">
        <v>26</v>
      </c>
      <c r="H243">
        <v>15</v>
      </c>
      <c r="I243">
        <v>695</v>
      </c>
      <c r="J243" t="s">
        <v>335</v>
      </c>
      <c r="K243">
        <v>6731508</v>
      </c>
      <c r="L243">
        <v>0.86538461538461542</v>
      </c>
    </row>
    <row r="244" spans="1:12" x14ac:dyDescent="0.2">
      <c r="A244" t="s">
        <v>386</v>
      </c>
      <c r="B244">
        <v>32</v>
      </c>
      <c r="C244" t="s">
        <v>1040</v>
      </c>
      <c r="D244" t="s">
        <v>1037</v>
      </c>
      <c r="E244">
        <v>0.48599999999999999</v>
      </c>
      <c r="F244">
        <v>120</v>
      </c>
      <c r="G244">
        <v>24</v>
      </c>
      <c r="H244">
        <v>14</v>
      </c>
      <c r="I244">
        <v>213</v>
      </c>
      <c r="J244" t="s">
        <v>387</v>
      </c>
      <c r="K244">
        <v>5005350</v>
      </c>
      <c r="L244">
        <v>2.1052631578947367</v>
      </c>
    </row>
    <row r="245" spans="1:12" x14ac:dyDescent="0.2">
      <c r="A245" t="s">
        <v>400</v>
      </c>
      <c r="B245">
        <v>22</v>
      </c>
      <c r="C245" t="s">
        <v>1040</v>
      </c>
      <c r="D245" t="s">
        <v>1037</v>
      </c>
      <c r="E245">
        <v>0.56000000000000005</v>
      </c>
      <c r="F245">
        <v>138</v>
      </c>
      <c r="G245">
        <v>17</v>
      </c>
      <c r="H245">
        <v>15</v>
      </c>
      <c r="I245">
        <v>253</v>
      </c>
      <c r="J245" t="s">
        <v>401</v>
      </c>
      <c r="K245">
        <v>4862040</v>
      </c>
      <c r="L245">
        <v>1.2608695652173914</v>
      </c>
    </row>
    <row r="246" spans="1:12" x14ac:dyDescent="0.2">
      <c r="A246" t="s">
        <v>410</v>
      </c>
      <c r="B246">
        <v>22</v>
      </c>
      <c r="C246" t="s">
        <v>1040</v>
      </c>
      <c r="D246" t="s">
        <v>1037</v>
      </c>
      <c r="E246">
        <v>0.51300000000000001</v>
      </c>
      <c r="F246">
        <v>312</v>
      </c>
      <c r="G246">
        <v>44</v>
      </c>
      <c r="H246">
        <v>7</v>
      </c>
      <c r="I246">
        <v>789</v>
      </c>
      <c r="J246" t="s">
        <v>411</v>
      </c>
      <c r="K246">
        <v>4692840</v>
      </c>
      <c r="L246">
        <v>1.2058823529411764</v>
      </c>
    </row>
    <row r="247" spans="1:12" x14ac:dyDescent="0.2">
      <c r="A247" t="s">
        <v>414</v>
      </c>
      <c r="B247">
        <v>21</v>
      </c>
      <c r="C247" t="s">
        <v>1040</v>
      </c>
      <c r="D247" t="s">
        <v>1037</v>
      </c>
      <c r="E247">
        <v>0.51400000000000001</v>
      </c>
      <c r="F247">
        <v>61</v>
      </c>
      <c r="G247">
        <v>12</v>
      </c>
      <c r="H247">
        <v>6</v>
      </c>
      <c r="I247">
        <v>163</v>
      </c>
      <c r="J247" t="s">
        <v>415</v>
      </c>
      <c r="K247">
        <v>4588680</v>
      </c>
      <c r="L247">
        <v>1.1176470588235294</v>
      </c>
    </row>
    <row r="248" spans="1:12" x14ac:dyDescent="0.2">
      <c r="A248" t="s">
        <v>418</v>
      </c>
      <c r="B248">
        <v>20</v>
      </c>
      <c r="C248" t="s">
        <v>1040</v>
      </c>
      <c r="D248" t="s">
        <v>1037</v>
      </c>
      <c r="E248">
        <v>0.502</v>
      </c>
      <c r="F248">
        <v>262</v>
      </c>
      <c r="G248">
        <v>32</v>
      </c>
      <c r="H248">
        <v>15</v>
      </c>
      <c r="I248">
        <v>342</v>
      </c>
      <c r="J248" t="s">
        <v>419</v>
      </c>
      <c r="K248">
        <v>4469160</v>
      </c>
      <c r="L248">
        <v>1.9090909090909092</v>
      </c>
    </row>
    <row r="249" spans="1:12" x14ac:dyDescent="0.2">
      <c r="A249" t="s">
        <v>422</v>
      </c>
      <c r="B249">
        <v>21</v>
      </c>
      <c r="C249" t="s">
        <v>1040</v>
      </c>
      <c r="D249" t="s">
        <v>1037</v>
      </c>
      <c r="E249">
        <v>0.42799999999999999</v>
      </c>
      <c r="F249">
        <v>104</v>
      </c>
      <c r="G249">
        <v>33</v>
      </c>
      <c r="H249">
        <v>9</v>
      </c>
      <c r="I249">
        <v>292</v>
      </c>
      <c r="J249" t="s">
        <v>423</v>
      </c>
      <c r="K249">
        <v>4458000</v>
      </c>
      <c r="L249">
        <v>1.0294117647058822</v>
      </c>
    </row>
    <row r="250" spans="1:12" x14ac:dyDescent="0.2">
      <c r="A250" t="s">
        <v>430</v>
      </c>
      <c r="B250">
        <v>29</v>
      </c>
      <c r="C250" t="s">
        <v>1040</v>
      </c>
      <c r="D250" t="s">
        <v>1037</v>
      </c>
      <c r="E250">
        <v>0.58699999999999997</v>
      </c>
      <c r="F250">
        <v>223</v>
      </c>
      <c r="G250">
        <v>52</v>
      </c>
      <c r="H250">
        <v>11</v>
      </c>
      <c r="I250">
        <v>709</v>
      </c>
      <c r="J250" t="s">
        <v>431</v>
      </c>
      <c r="K250">
        <v>4200000</v>
      </c>
      <c r="L250">
        <v>2.2000000000000002</v>
      </c>
    </row>
    <row r="251" spans="1:12" x14ac:dyDescent="0.2">
      <c r="A251" t="s">
        <v>436</v>
      </c>
      <c r="B251">
        <v>23</v>
      </c>
      <c r="C251" t="s">
        <v>1040</v>
      </c>
      <c r="D251" t="s">
        <v>1037</v>
      </c>
      <c r="E251">
        <v>0.61</v>
      </c>
      <c r="F251">
        <v>467</v>
      </c>
      <c r="G251">
        <v>34</v>
      </c>
      <c r="H251">
        <v>63</v>
      </c>
      <c r="I251">
        <v>1111</v>
      </c>
      <c r="J251" t="s">
        <v>437</v>
      </c>
      <c r="K251">
        <v>4137302</v>
      </c>
      <c r="L251">
        <v>0.9285714285714286</v>
      </c>
    </row>
    <row r="252" spans="1:12" x14ac:dyDescent="0.2">
      <c r="A252" t="s">
        <v>446</v>
      </c>
      <c r="B252">
        <v>22</v>
      </c>
      <c r="C252" t="s">
        <v>1040</v>
      </c>
      <c r="D252" t="s">
        <v>1037</v>
      </c>
      <c r="E252">
        <v>0.52200000000000002</v>
      </c>
      <c r="F252">
        <v>418</v>
      </c>
      <c r="G252">
        <v>69</v>
      </c>
      <c r="H252">
        <v>79</v>
      </c>
      <c r="I252">
        <v>824</v>
      </c>
      <c r="J252" t="s">
        <v>447</v>
      </c>
      <c r="K252">
        <v>4023600</v>
      </c>
      <c r="L252">
        <v>1.2578125</v>
      </c>
    </row>
    <row r="253" spans="1:12" x14ac:dyDescent="0.2">
      <c r="A253" t="s">
        <v>450</v>
      </c>
      <c r="B253">
        <v>25</v>
      </c>
      <c r="C253" t="s">
        <v>1040</v>
      </c>
      <c r="D253" t="s">
        <v>1037</v>
      </c>
      <c r="E253">
        <v>1</v>
      </c>
      <c r="F253">
        <v>3</v>
      </c>
      <c r="G253">
        <v>2</v>
      </c>
      <c r="H253">
        <v>0</v>
      </c>
      <c r="I253">
        <v>5</v>
      </c>
      <c r="J253" t="s">
        <v>451</v>
      </c>
      <c r="K253">
        <v>4000000</v>
      </c>
      <c r="L253">
        <v>0</v>
      </c>
    </row>
    <row r="254" spans="1:12" x14ac:dyDescent="0.2">
      <c r="A254" t="s">
        <v>454</v>
      </c>
      <c r="B254">
        <v>22</v>
      </c>
      <c r="C254" t="s">
        <v>1040</v>
      </c>
      <c r="D254" t="s">
        <v>1037</v>
      </c>
      <c r="E254">
        <v>0.59599999999999997</v>
      </c>
      <c r="F254">
        <v>397</v>
      </c>
      <c r="G254">
        <v>44</v>
      </c>
      <c r="H254">
        <v>52</v>
      </c>
      <c r="I254">
        <v>840</v>
      </c>
      <c r="J254" t="s">
        <v>455</v>
      </c>
      <c r="K254">
        <v>3934320</v>
      </c>
      <c r="L254">
        <v>1.3867924528301887</v>
      </c>
    </row>
    <row r="255" spans="1:12" x14ac:dyDescent="0.2">
      <c r="A255" t="s">
        <v>460</v>
      </c>
      <c r="B255">
        <v>23</v>
      </c>
      <c r="C255" t="s">
        <v>1040</v>
      </c>
      <c r="D255" t="s">
        <v>1037</v>
      </c>
      <c r="E255">
        <v>0.57999999999999996</v>
      </c>
      <c r="F255">
        <v>237</v>
      </c>
      <c r="G255">
        <v>66</v>
      </c>
      <c r="H255">
        <v>32</v>
      </c>
      <c r="I255">
        <v>682</v>
      </c>
      <c r="J255" t="s">
        <v>461</v>
      </c>
      <c r="K255">
        <v>3872215</v>
      </c>
      <c r="L255">
        <v>1.2533333333333334</v>
      </c>
    </row>
    <row r="256" spans="1:12" x14ac:dyDescent="0.2">
      <c r="A256" t="s">
        <v>466</v>
      </c>
      <c r="B256">
        <v>24</v>
      </c>
      <c r="C256" t="s">
        <v>1040</v>
      </c>
      <c r="D256" t="s">
        <v>1037</v>
      </c>
      <c r="E256">
        <v>0.47899999999999998</v>
      </c>
      <c r="F256">
        <v>153</v>
      </c>
      <c r="G256">
        <v>52</v>
      </c>
      <c r="H256">
        <v>18</v>
      </c>
      <c r="I256">
        <v>267</v>
      </c>
      <c r="J256" t="s">
        <v>467</v>
      </c>
      <c r="K256">
        <v>3804150</v>
      </c>
      <c r="L256">
        <v>1.6481481481481481</v>
      </c>
    </row>
    <row r="257" spans="1:12" x14ac:dyDescent="0.2">
      <c r="A257" t="s">
        <v>500</v>
      </c>
      <c r="B257">
        <v>21</v>
      </c>
      <c r="C257" t="s">
        <v>1040</v>
      </c>
      <c r="D257" t="s">
        <v>1037</v>
      </c>
      <c r="E257">
        <v>0.55100000000000005</v>
      </c>
      <c r="F257">
        <v>127</v>
      </c>
      <c r="G257">
        <v>15</v>
      </c>
      <c r="H257">
        <v>9</v>
      </c>
      <c r="I257">
        <v>218</v>
      </c>
      <c r="J257" t="s">
        <v>501</v>
      </c>
      <c r="K257">
        <v>3458400</v>
      </c>
      <c r="L257">
        <v>1</v>
      </c>
    </row>
    <row r="258" spans="1:12" x14ac:dyDescent="0.2">
      <c r="A258" t="s">
        <v>502</v>
      </c>
      <c r="B258">
        <v>20</v>
      </c>
      <c r="C258" t="s">
        <v>1040</v>
      </c>
      <c r="D258" t="s">
        <v>1037</v>
      </c>
      <c r="E258">
        <v>0.42599999999999999</v>
      </c>
      <c r="F258">
        <v>143</v>
      </c>
      <c r="G258">
        <v>24</v>
      </c>
      <c r="H258">
        <v>9</v>
      </c>
      <c r="I258">
        <v>285</v>
      </c>
      <c r="J258" t="s">
        <v>503</v>
      </c>
      <c r="K258">
        <v>3449400</v>
      </c>
      <c r="L258">
        <v>1.0681818181818181</v>
      </c>
    </row>
    <row r="259" spans="1:12" x14ac:dyDescent="0.2">
      <c r="A259" t="s">
        <v>506</v>
      </c>
      <c r="B259">
        <v>30</v>
      </c>
      <c r="C259" t="s">
        <v>1040</v>
      </c>
      <c r="D259" t="s">
        <v>1037</v>
      </c>
      <c r="E259">
        <v>0.56599999999999995</v>
      </c>
      <c r="F259">
        <v>166</v>
      </c>
      <c r="G259">
        <v>32</v>
      </c>
      <c r="H259">
        <v>7</v>
      </c>
      <c r="I259">
        <v>345</v>
      </c>
      <c r="J259" t="s">
        <v>507</v>
      </c>
      <c r="K259">
        <v>3300000</v>
      </c>
      <c r="L259">
        <v>1.7222222222222223</v>
      </c>
    </row>
    <row r="260" spans="1:12" x14ac:dyDescent="0.2">
      <c r="A260" t="s">
        <v>514</v>
      </c>
      <c r="B260">
        <v>22</v>
      </c>
      <c r="C260" t="s">
        <v>1040</v>
      </c>
      <c r="D260" t="s">
        <v>1037</v>
      </c>
      <c r="E260">
        <v>0.49199999999999999</v>
      </c>
      <c r="F260">
        <v>181</v>
      </c>
      <c r="G260">
        <v>48</v>
      </c>
      <c r="H260">
        <v>22</v>
      </c>
      <c r="I260">
        <v>349</v>
      </c>
      <c r="J260" t="s">
        <v>515</v>
      </c>
      <c r="K260">
        <v>3121080</v>
      </c>
      <c r="L260">
        <v>2.6578947368421053</v>
      </c>
    </row>
    <row r="261" spans="1:12" x14ac:dyDescent="0.2">
      <c r="A261" t="s">
        <v>546</v>
      </c>
      <c r="B261">
        <v>21</v>
      </c>
      <c r="C261" t="s">
        <v>1040</v>
      </c>
      <c r="D261" t="s">
        <v>1037</v>
      </c>
      <c r="E261">
        <v>0.53</v>
      </c>
      <c r="F261">
        <v>318</v>
      </c>
      <c r="G261">
        <v>52</v>
      </c>
      <c r="H261">
        <v>14</v>
      </c>
      <c r="I261">
        <v>857</v>
      </c>
      <c r="J261" t="s">
        <v>547</v>
      </c>
      <c r="K261">
        <v>2689920</v>
      </c>
      <c r="L261">
        <v>1.5833333333333333</v>
      </c>
    </row>
    <row r="262" spans="1:12" x14ac:dyDescent="0.2">
      <c r="A262" t="s">
        <v>554</v>
      </c>
      <c r="B262">
        <v>21</v>
      </c>
      <c r="C262" t="s">
        <v>1040</v>
      </c>
      <c r="D262" t="s">
        <v>1037</v>
      </c>
      <c r="E262">
        <v>0.54400000000000004</v>
      </c>
      <c r="F262">
        <v>208</v>
      </c>
      <c r="G262">
        <v>20</v>
      </c>
      <c r="H262">
        <v>28</v>
      </c>
      <c r="I262">
        <v>304</v>
      </c>
      <c r="J262" t="s">
        <v>555</v>
      </c>
      <c r="K262">
        <v>2582160</v>
      </c>
      <c r="L262">
        <v>0.67441860465116277</v>
      </c>
    </row>
    <row r="263" spans="1:12" x14ac:dyDescent="0.2">
      <c r="A263" t="s">
        <v>560</v>
      </c>
      <c r="B263">
        <v>22</v>
      </c>
      <c r="C263" t="s">
        <v>1040</v>
      </c>
      <c r="D263" t="s">
        <v>1037</v>
      </c>
      <c r="E263">
        <v>0.53400000000000003</v>
      </c>
      <c r="F263">
        <v>178</v>
      </c>
      <c r="G263">
        <v>32</v>
      </c>
      <c r="H263">
        <v>24</v>
      </c>
      <c r="I263">
        <v>294</v>
      </c>
      <c r="J263" t="s">
        <v>561</v>
      </c>
      <c r="K263">
        <v>2498760</v>
      </c>
      <c r="L263">
        <v>1.1428571428571428</v>
      </c>
    </row>
    <row r="264" spans="1:12" x14ac:dyDescent="0.2">
      <c r="A264" t="s">
        <v>594</v>
      </c>
      <c r="B264">
        <v>24</v>
      </c>
      <c r="C264" t="s">
        <v>1040</v>
      </c>
      <c r="D264" t="s">
        <v>1037</v>
      </c>
      <c r="E264">
        <v>0.53800000000000003</v>
      </c>
      <c r="F264">
        <v>107</v>
      </c>
      <c r="G264">
        <v>19</v>
      </c>
      <c r="H264">
        <v>12</v>
      </c>
      <c r="I264">
        <v>161</v>
      </c>
      <c r="J264" t="s">
        <v>595</v>
      </c>
      <c r="K264">
        <v>2137440</v>
      </c>
      <c r="L264">
        <v>1.03125</v>
      </c>
    </row>
    <row r="265" spans="1:12" x14ac:dyDescent="0.2">
      <c r="A265" t="s">
        <v>648</v>
      </c>
      <c r="B265">
        <v>26</v>
      </c>
      <c r="C265" t="s">
        <v>1040</v>
      </c>
      <c r="D265" t="s">
        <v>1037</v>
      </c>
      <c r="E265">
        <v>0.53400000000000003</v>
      </c>
      <c r="F265">
        <v>147</v>
      </c>
      <c r="G265">
        <v>17</v>
      </c>
      <c r="H265">
        <v>0</v>
      </c>
      <c r="I265">
        <v>260</v>
      </c>
      <c r="J265" t="s">
        <v>649</v>
      </c>
      <c r="K265">
        <v>1752950</v>
      </c>
      <c r="L265">
        <v>1.7619047619047619</v>
      </c>
    </row>
    <row r="266" spans="1:12" x14ac:dyDescent="0.2">
      <c r="A266" t="s">
        <v>652</v>
      </c>
      <c r="B266">
        <v>26</v>
      </c>
      <c r="C266" t="s">
        <v>1040</v>
      </c>
      <c r="D266" t="s">
        <v>1037</v>
      </c>
      <c r="E266">
        <v>0.54400000000000004</v>
      </c>
      <c r="F266">
        <v>146</v>
      </c>
      <c r="G266">
        <v>53</v>
      </c>
      <c r="H266">
        <v>18</v>
      </c>
      <c r="I266">
        <v>293</v>
      </c>
      <c r="J266" t="s">
        <v>653</v>
      </c>
      <c r="K266">
        <v>1737145</v>
      </c>
      <c r="L266">
        <v>1.5070422535211268</v>
      </c>
    </row>
    <row r="267" spans="1:12" x14ac:dyDescent="0.2">
      <c r="A267" t="s">
        <v>656</v>
      </c>
      <c r="B267">
        <v>28</v>
      </c>
      <c r="C267" t="s">
        <v>1040</v>
      </c>
      <c r="D267" t="s">
        <v>1037</v>
      </c>
      <c r="E267">
        <v>0.51500000000000001</v>
      </c>
      <c r="F267">
        <v>124</v>
      </c>
      <c r="G267">
        <v>22</v>
      </c>
      <c r="H267">
        <v>10</v>
      </c>
      <c r="I267">
        <v>166</v>
      </c>
      <c r="J267" t="s">
        <v>657</v>
      </c>
      <c r="K267">
        <v>1701593</v>
      </c>
      <c r="L267">
        <v>1.069767441860465</v>
      </c>
    </row>
    <row r="268" spans="1:12" x14ac:dyDescent="0.2">
      <c r="A268" t="s">
        <v>666</v>
      </c>
      <c r="B268">
        <v>21</v>
      </c>
      <c r="C268" t="s">
        <v>1040</v>
      </c>
      <c r="D268" t="s">
        <v>1037</v>
      </c>
      <c r="E268">
        <v>0.45100000000000001</v>
      </c>
      <c r="F268">
        <v>66</v>
      </c>
      <c r="G268">
        <v>11</v>
      </c>
      <c r="H268">
        <v>9</v>
      </c>
      <c r="I268">
        <v>78</v>
      </c>
      <c r="J268" t="s">
        <v>667</v>
      </c>
      <c r="K268">
        <v>1663861</v>
      </c>
      <c r="L268">
        <v>1.0454545454545454</v>
      </c>
    </row>
    <row r="269" spans="1:12" x14ac:dyDescent="0.2">
      <c r="A269" t="s">
        <v>676</v>
      </c>
      <c r="B269">
        <v>26</v>
      </c>
      <c r="C269" t="s">
        <v>1040</v>
      </c>
      <c r="D269" t="s">
        <v>1037</v>
      </c>
      <c r="E269">
        <v>0.61399999999999999</v>
      </c>
      <c r="F269">
        <v>250</v>
      </c>
      <c r="G269">
        <v>43</v>
      </c>
      <c r="H269">
        <v>20</v>
      </c>
      <c r="I269">
        <v>942</v>
      </c>
      <c r="J269" t="s">
        <v>677</v>
      </c>
      <c r="K269">
        <v>1663861</v>
      </c>
      <c r="L269">
        <v>1.5679012345679013</v>
      </c>
    </row>
    <row r="270" spans="1:12" x14ac:dyDescent="0.2">
      <c r="A270" t="s">
        <v>688</v>
      </c>
      <c r="B270">
        <v>27</v>
      </c>
      <c r="C270" t="s">
        <v>1040</v>
      </c>
      <c r="D270" t="s">
        <v>1037</v>
      </c>
      <c r="E270">
        <v>0.50900000000000001</v>
      </c>
      <c r="F270">
        <v>77</v>
      </c>
      <c r="G270">
        <v>2</v>
      </c>
      <c r="H270">
        <v>14</v>
      </c>
      <c r="I270">
        <v>134</v>
      </c>
      <c r="J270" t="s">
        <v>689</v>
      </c>
      <c r="K270">
        <v>1620564</v>
      </c>
      <c r="L270">
        <v>0.26666666666666666</v>
      </c>
    </row>
    <row r="271" spans="1:12" x14ac:dyDescent="0.2">
      <c r="A271" t="s">
        <v>728</v>
      </c>
      <c r="B271">
        <v>29</v>
      </c>
      <c r="C271" t="s">
        <v>1040</v>
      </c>
      <c r="D271" t="s">
        <v>1037</v>
      </c>
      <c r="E271">
        <v>0.47299999999999998</v>
      </c>
      <c r="F271">
        <v>214</v>
      </c>
      <c r="G271">
        <v>50</v>
      </c>
      <c r="H271">
        <v>11</v>
      </c>
      <c r="I271">
        <v>317</v>
      </c>
      <c r="J271" t="s">
        <v>729</v>
      </c>
      <c r="K271">
        <v>1620564</v>
      </c>
      <c r="L271">
        <v>1.7857142857142858</v>
      </c>
    </row>
    <row r="272" spans="1:12" x14ac:dyDescent="0.2">
      <c r="A272" t="s">
        <v>748</v>
      </c>
      <c r="B272">
        <v>34</v>
      </c>
      <c r="C272" t="s">
        <v>1040</v>
      </c>
      <c r="D272" t="s">
        <v>1037</v>
      </c>
      <c r="E272">
        <v>0.59</v>
      </c>
      <c r="F272">
        <v>263</v>
      </c>
      <c r="G272">
        <v>36</v>
      </c>
      <c r="H272">
        <v>27</v>
      </c>
      <c r="I272">
        <v>750</v>
      </c>
      <c r="J272" t="s">
        <v>749</v>
      </c>
      <c r="K272">
        <v>1620564</v>
      </c>
      <c r="L272">
        <v>2</v>
      </c>
    </row>
    <row r="273" spans="1:12" x14ac:dyDescent="0.2">
      <c r="A273" t="s">
        <v>778</v>
      </c>
      <c r="B273">
        <v>21</v>
      </c>
      <c r="C273" t="s">
        <v>1040</v>
      </c>
      <c r="D273" t="s">
        <v>1037</v>
      </c>
      <c r="E273">
        <v>0.438</v>
      </c>
      <c r="F273">
        <v>68</v>
      </c>
      <c r="G273">
        <v>10</v>
      </c>
      <c r="H273">
        <v>11</v>
      </c>
      <c r="I273">
        <v>92</v>
      </c>
      <c r="J273" t="s">
        <v>779</v>
      </c>
      <c r="K273">
        <v>1517981</v>
      </c>
      <c r="L273">
        <v>1.2666666666666666</v>
      </c>
    </row>
    <row r="274" spans="1:12" x14ac:dyDescent="0.2">
      <c r="A274" t="s">
        <v>776</v>
      </c>
      <c r="B274">
        <v>24</v>
      </c>
      <c r="C274" t="s">
        <v>1040</v>
      </c>
      <c r="D274" t="s">
        <v>1037</v>
      </c>
      <c r="E274">
        <v>0.55600000000000005</v>
      </c>
      <c r="F274">
        <v>215</v>
      </c>
      <c r="G274">
        <v>35</v>
      </c>
      <c r="H274">
        <v>21</v>
      </c>
      <c r="I274">
        <v>376</v>
      </c>
      <c r="J274" t="s">
        <v>777</v>
      </c>
      <c r="K274">
        <v>1517981</v>
      </c>
      <c r="L274">
        <v>2.4666666666666668</v>
      </c>
    </row>
    <row r="275" spans="1:12" x14ac:dyDescent="0.2">
      <c r="A275" t="s">
        <v>780</v>
      </c>
      <c r="B275">
        <v>25</v>
      </c>
      <c r="C275" t="s">
        <v>1040</v>
      </c>
      <c r="D275" t="s">
        <v>1037</v>
      </c>
      <c r="E275">
        <v>0.436</v>
      </c>
      <c r="F275">
        <v>141</v>
      </c>
      <c r="G275">
        <v>37</v>
      </c>
      <c r="H275">
        <v>12</v>
      </c>
      <c r="I275">
        <v>264</v>
      </c>
      <c r="J275" t="s">
        <v>781</v>
      </c>
      <c r="K275">
        <v>1517981</v>
      </c>
      <c r="L275">
        <v>2.0303030303030303</v>
      </c>
    </row>
    <row r="276" spans="1:12" x14ac:dyDescent="0.2">
      <c r="A276" t="s">
        <v>774</v>
      </c>
      <c r="B276">
        <v>25</v>
      </c>
      <c r="C276" t="s">
        <v>1040</v>
      </c>
      <c r="D276" t="s">
        <v>1037</v>
      </c>
      <c r="E276">
        <v>0.48399999999999999</v>
      </c>
      <c r="F276">
        <v>161</v>
      </c>
      <c r="G276">
        <v>37</v>
      </c>
      <c r="H276">
        <v>12</v>
      </c>
      <c r="I276">
        <v>207</v>
      </c>
      <c r="J276" t="s">
        <v>775</v>
      </c>
      <c r="K276">
        <v>1517981</v>
      </c>
      <c r="L276">
        <v>2.15</v>
      </c>
    </row>
    <row r="277" spans="1:12" x14ac:dyDescent="0.2">
      <c r="A277" t="s">
        <v>792</v>
      </c>
      <c r="B277">
        <v>23</v>
      </c>
      <c r="C277" t="s">
        <v>1040</v>
      </c>
      <c r="D277" t="s">
        <v>1037</v>
      </c>
      <c r="E277">
        <v>0.53</v>
      </c>
      <c r="F277">
        <v>169</v>
      </c>
      <c r="G277">
        <v>28</v>
      </c>
      <c r="H277">
        <v>19</v>
      </c>
      <c r="I277">
        <v>346</v>
      </c>
      <c r="J277" t="s">
        <v>793</v>
      </c>
      <c r="K277">
        <v>1517981</v>
      </c>
      <c r="L277">
        <v>1.1777777777777778</v>
      </c>
    </row>
    <row r="278" spans="1:12" x14ac:dyDescent="0.2">
      <c r="A278" t="s">
        <v>820</v>
      </c>
      <c r="B278">
        <v>26</v>
      </c>
      <c r="C278" t="s">
        <v>1040</v>
      </c>
      <c r="D278" t="s">
        <v>1037</v>
      </c>
      <c r="E278">
        <v>0.64600000000000002</v>
      </c>
      <c r="F278">
        <v>45</v>
      </c>
      <c r="G278">
        <v>6</v>
      </c>
      <c r="H278">
        <v>3</v>
      </c>
      <c r="I278">
        <v>111</v>
      </c>
      <c r="J278" t="s">
        <v>821</v>
      </c>
      <c r="K278">
        <v>1445697</v>
      </c>
      <c r="L278">
        <v>1.8888888888888888</v>
      </c>
    </row>
    <row r="279" spans="1:12" x14ac:dyDescent="0.2">
      <c r="A279" t="s">
        <v>816</v>
      </c>
      <c r="B279">
        <v>25</v>
      </c>
      <c r="C279" t="s">
        <v>1040</v>
      </c>
      <c r="D279" t="s">
        <v>1037</v>
      </c>
      <c r="E279">
        <v>0.53600000000000003</v>
      </c>
      <c r="F279">
        <v>78</v>
      </c>
      <c r="G279">
        <v>10</v>
      </c>
      <c r="H279">
        <v>10</v>
      </c>
      <c r="I279">
        <v>157</v>
      </c>
      <c r="J279" t="s">
        <v>817</v>
      </c>
      <c r="K279">
        <v>1445697</v>
      </c>
      <c r="L279">
        <v>1.0625</v>
      </c>
    </row>
    <row r="280" spans="1:12" x14ac:dyDescent="0.2">
      <c r="A280" t="s">
        <v>840</v>
      </c>
      <c r="B280">
        <v>23</v>
      </c>
      <c r="C280" t="s">
        <v>1040</v>
      </c>
      <c r="D280" t="s">
        <v>1037</v>
      </c>
      <c r="E280">
        <v>0.44400000000000001</v>
      </c>
      <c r="F280">
        <v>11</v>
      </c>
      <c r="G280">
        <v>0</v>
      </c>
      <c r="H280">
        <v>0</v>
      </c>
      <c r="I280">
        <v>15</v>
      </c>
      <c r="J280" t="s">
        <v>841</v>
      </c>
      <c r="K280">
        <v>1000000</v>
      </c>
      <c r="L280">
        <v>0.66666666666666663</v>
      </c>
    </row>
    <row r="281" spans="1:12" x14ac:dyDescent="0.2">
      <c r="A281" t="s">
        <v>848</v>
      </c>
      <c r="B281">
        <v>28</v>
      </c>
      <c r="C281" t="s">
        <v>1040</v>
      </c>
      <c r="D281" t="s">
        <v>1037</v>
      </c>
      <c r="E281">
        <v>0.55800000000000005</v>
      </c>
      <c r="F281">
        <v>51</v>
      </c>
      <c r="G281">
        <v>10</v>
      </c>
      <c r="H281">
        <v>4</v>
      </c>
      <c r="I281">
        <v>80</v>
      </c>
      <c r="J281" t="s">
        <v>849</v>
      </c>
      <c r="K281">
        <v>898310</v>
      </c>
      <c r="L281">
        <v>1.375</v>
      </c>
    </row>
    <row r="282" spans="1:12" x14ac:dyDescent="0.2">
      <c r="A282" t="s">
        <v>850</v>
      </c>
      <c r="B282">
        <v>24</v>
      </c>
      <c r="C282" t="s">
        <v>1040</v>
      </c>
      <c r="D282" t="s">
        <v>1037</v>
      </c>
      <c r="E282">
        <v>0.58799999999999997</v>
      </c>
      <c r="F282">
        <v>41</v>
      </c>
      <c r="G282">
        <v>11</v>
      </c>
      <c r="H282">
        <v>2</v>
      </c>
      <c r="I282">
        <v>236</v>
      </c>
      <c r="J282" t="s">
        <v>851</v>
      </c>
      <c r="K282">
        <v>898310</v>
      </c>
      <c r="L282">
        <v>3</v>
      </c>
    </row>
    <row r="283" spans="1:12" x14ac:dyDescent="0.2">
      <c r="A283" t="s">
        <v>860</v>
      </c>
      <c r="B283">
        <v>22</v>
      </c>
      <c r="C283" t="s">
        <v>1040</v>
      </c>
      <c r="D283" t="s">
        <v>1037</v>
      </c>
      <c r="E283">
        <v>0.56299999999999994</v>
      </c>
      <c r="F283">
        <v>60</v>
      </c>
      <c r="G283">
        <v>16</v>
      </c>
      <c r="H283">
        <v>7</v>
      </c>
      <c r="I283">
        <v>171</v>
      </c>
      <c r="J283" t="s">
        <v>861</v>
      </c>
      <c r="K283">
        <v>898310</v>
      </c>
      <c r="L283">
        <v>0.29166666666666669</v>
      </c>
    </row>
    <row r="284" spans="1:12" x14ac:dyDescent="0.2">
      <c r="A284" t="s">
        <v>874</v>
      </c>
      <c r="B284">
        <v>22</v>
      </c>
      <c r="C284" t="s">
        <v>1040</v>
      </c>
      <c r="D284" t="s">
        <v>1037</v>
      </c>
      <c r="E284">
        <v>0.59299999999999997</v>
      </c>
      <c r="F284">
        <v>115</v>
      </c>
      <c r="G284">
        <v>19</v>
      </c>
      <c r="H284">
        <v>20</v>
      </c>
      <c r="I284">
        <v>229</v>
      </c>
      <c r="J284" t="s">
        <v>875</v>
      </c>
      <c r="K284">
        <v>757453</v>
      </c>
      <c r="L284">
        <v>1.8</v>
      </c>
    </row>
    <row r="285" spans="1:12" x14ac:dyDescent="0.2">
      <c r="A285" t="s">
        <v>880</v>
      </c>
      <c r="B285">
        <v>25</v>
      </c>
      <c r="C285" t="s">
        <v>1040</v>
      </c>
      <c r="D285" t="s">
        <v>1037</v>
      </c>
      <c r="E285">
        <v>0.47099999999999997</v>
      </c>
      <c r="F285">
        <v>129</v>
      </c>
      <c r="G285">
        <v>33</v>
      </c>
      <c r="H285">
        <v>6</v>
      </c>
      <c r="I285">
        <v>370</v>
      </c>
      <c r="J285" t="s">
        <v>881</v>
      </c>
      <c r="K285">
        <v>654469</v>
      </c>
      <c r="L285">
        <v>1.6046511627906976</v>
      </c>
    </row>
    <row r="286" spans="1:12" x14ac:dyDescent="0.2">
      <c r="A286" t="s">
        <v>882</v>
      </c>
      <c r="B286">
        <v>23</v>
      </c>
      <c r="C286" t="s">
        <v>1040</v>
      </c>
      <c r="D286" t="s">
        <v>1037</v>
      </c>
      <c r="E286">
        <v>0.47099999999999997</v>
      </c>
      <c r="F286">
        <v>96</v>
      </c>
      <c r="G286">
        <v>17</v>
      </c>
      <c r="H286">
        <v>13</v>
      </c>
      <c r="I286">
        <v>165</v>
      </c>
      <c r="J286" t="s">
        <v>883</v>
      </c>
      <c r="K286">
        <v>652366</v>
      </c>
      <c r="L286">
        <v>1.0869565217391304</v>
      </c>
    </row>
    <row r="287" spans="1:12" x14ac:dyDescent="0.2">
      <c r="A287" t="s">
        <v>884</v>
      </c>
      <c r="B287">
        <v>21</v>
      </c>
      <c r="C287" t="s">
        <v>1040</v>
      </c>
      <c r="D287" t="s">
        <v>1037</v>
      </c>
      <c r="E287">
        <v>0.53800000000000003</v>
      </c>
      <c r="F287">
        <v>61</v>
      </c>
      <c r="G287">
        <v>10</v>
      </c>
      <c r="H287">
        <v>13</v>
      </c>
      <c r="I287">
        <v>88</v>
      </c>
      <c r="J287" t="s">
        <v>885</v>
      </c>
      <c r="K287">
        <v>609128</v>
      </c>
      <c r="L287">
        <v>1</v>
      </c>
    </row>
    <row r="288" spans="1:12" x14ac:dyDescent="0.2">
      <c r="A288" t="s">
        <v>916</v>
      </c>
      <c r="B288">
        <v>28</v>
      </c>
      <c r="C288" t="s">
        <v>1040</v>
      </c>
      <c r="D288" t="s">
        <v>1037</v>
      </c>
      <c r="E288">
        <v>0.40899999999999997</v>
      </c>
      <c r="F288">
        <v>6</v>
      </c>
      <c r="G288">
        <v>2</v>
      </c>
      <c r="H288">
        <v>3</v>
      </c>
      <c r="I288">
        <v>14</v>
      </c>
      <c r="J288" t="s">
        <v>917</v>
      </c>
      <c r="K288">
        <v>449155</v>
      </c>
      <c r="L288">
        <v>0</v>
      </c>
    </row>
    <row r="289" spans="1:12" x14ac:dyDescent="0.2">
      <c r="A289" t="s">
        <v>948</v>
      </c>
      <c r="B289">
        <v>20</v>
      </c>
      <c r="C289" t="s">
        <v>1040</v>
      </c>
      <c r="D289" t="s">
        <v>1037</v>
      </c>
      <c r="E289">
        <v>0.436</v>
      </c>
      <c r="F289">
        <v>73</v>
      </c>
      <c r="G289">
        <v>6</v>
      </c>
      <c r="H289">
        <v>6</v>
      </c>
      <c r="I289">
        <v>78</v>
      </c>
      <c r="J289" t="s">
        <v>949</v>
      </c>
      <c r="K289">
        <v>449155</v>
      </c>
      <c r="L289">
        <v>0.93333333333333335</v>
      </c>
    </row>
    <row r="290" spans="1:12" x14ac:dyDescent="0.2">
      <c r="A290" t="s">
        <v>958</v>
      </c>
      <c r="B290">
        <v>23</v>
      </c>
      <c r="C290" t="s">
        <v>1040</v>
      </c>
      <c r="D290" t="s">
        <v>1037</v>
      </c>
      <c r="E290">
        <v>0.4</v>
      </c>
      <c r="F290">
        <v>72</v>
      </c>
      <c r="G290">
        <v>9</v>
      </c>
      <c r="H290">
        <v>10</v>
      </c>
      <c r="I290">
        <v>124</v>
      </c>
      <c r="J290" t="s">
        <v>959</v>
      </c>
      <c r="K290">
        <v>449155</v>
      </c>
      <c r="L290">
        <v>0.53333333333333333</v>
      </c>
    </row>
    <row r="291" spans="1:12" x14ac:dyDescent="0.2">
      <c r="A291" t="s">
        <v>992</v>
      </c>
      <c r="B291">
        <v>24</v>
      </c>
      <c r="C291" t="s">
        <v>1040</v>
      </c>
      <c r="D291" t="s">
        <v>1037</v>
      </c>
      <c r="E291">
        <v>0.59599999999999997</v>
      </c>
      <c r="F291">
        <v>90</v>
      </c>
      <c r="G291">
        <v>5</v>
      </c>
      <c r="H291">
        <v>5</v>
      </c>
      <c r="I291">
        <v>94</v>
      </c>
      <c r="J291" t="s">
        <v>993</v>
      </c>
      <c r="K291">
        <v>399591</v>
      </c>
      <c r="L291">
        <v>1.5555555555555556</v>
      </c>
    </row>
    <row r="292" spans="1:12" x14ac:dyDescent="0.2">
      <c r="A292" t="s">
        <v>998</v>
      </c>
      <c r="B292">
        <v>26</v>
      </c>
      <c r="C292" t="s">
        <v>1040</v>
      </c>
      <c r="D292" t="s">
        <v>1037</v>
      </c>
      <c r="E292">
        <v>0.53900000000000003</v>
      </c>
      <c r="F292">
        <v>159</v>
      </c>
      <c r="G292">
        <v>26</v>
      </c>
      <c r="H292">
        <v>19</v>
      </c>
      <c r="I292">
        <v>218</v>
      </c>
      <c r="J292" t="s">
        <v>999</v>
      </c>
      <c r="K292">
        <v>321893</v>
      </c>
      <c r="L292">
        <v>2.1052631578947367</v>
      </c>
    </row>
    <row r="293" spans="1:12" x14ac:dyDescent="0.2">
      <c r="A293" t="s">
        <v>1000</v>
      </c>
      <c r="B293">
        <v>35</v>
      </c>
      <c r="C293" t="s">
        <v>1040</v>
      </c>
      <c r="D293" t="s">
        <v>1037</v>
      </c>
      <c r="E293">
        <v>0.35299999999999998</v>
      </c>
      <c r="F293">
        <v>10</v>
      </c>
      <c r="G293">
        <v>3</v>
      </c>
      <c r="H293">
        <v>2</v>
      </c>
      <c r="I293">
        <v>17</v>
      </c>
      <c r="J293" t="s">
        <v>1001</v>
      </c>
      <c r="K293">
        <v>263501</v>
      </c>
      <c r="L293">
        <v>0.66666666666666663</v>
      </c>
    </row>
    <row r="294" spans="1:12" x14ac:dyDescent="0.2">
      <c r="A294" t="s">
        <v>1018</v>
      </c>
      <c r="B294">
        <v>24</v>
      </c>
      <c r="C294" t="s">
        <v>1040</v>
      </c>
      <c r="D294" t="s">
        <v>1037</v>
      </c>
      <c r="E294">
        <v>0.41299999999999998</v>
      </c>
      <c r="F294">
        <v>34</v>
      </c>
      <c r="G294">
        <v>7</v>
      </c>
      <c r="H294">
        <v>6</v>
      </c>
      <c r="I294">
        <v>44</v>
      </c>
      <c r="J294" t="s">
        <v>1019</v>
      </c>
      <c r="K294">
        <v>160173</v>
      </c>
      <c r="L294">
        <v>2.6666666666666665</v>
      </c>
    </row>
    <row r="295" spans="1:12" x14ac:dyDescent="0.2">
      <c r="A295" t="s">
        <v>1024</v>
      </c>
      <c r="B295">
        <v>23</v>
      </c>
      <c r="C295" t="s">
        <v>1040</v>
      </c>
      <c r="D295" t="s">
        <v>1037</v>
      </c>
      <c r="E295">
        <v>0.52400000000000002</v>
      </c>
      <c r="F295">
        <v>97</v>
      </c>
      <c r="G295">
        <v>13</v>
      </c>
      <c r="H295">
        <v>20</v>
      </c>
      <c r="I295">
        <v>111</v>
      </c>
      <c r="J295" t="s">
        <v>1025</v>
      </c>
      <c r="K295">
        <v>116903</v>
      </c>
      <c r="L295">
        <v>0.75</v>
      </c>
    </row>
    <row r="296" spans="1:12" x14ac:dyDescent="0.2">
      <c r="A296" t="s">
        <v>10</v>
      </c>
      <c r="B296">
        <v>32</v>
      </c>
      <c r="C296" t="s">
        <v>1039</v>
      </c>
      <c r="D296" t="s">
        <v>1036</v>
      </c>
      <c r="E296">
        <v>0.60499999999999998</v>
      </c>
      <c r="F296">
        <v>345</v>
      </c>
      <c r="G296">
        <v>77</v>
      </c>
      <c r="H296">
        <v>8</v>
      </c>
      <c r="I296">
        <v>2015</v>
      </c>
      <c r="J296" t="s">
        <v>11</v>
      </c>
      <c r="K296">
        <v>43006362</v>
      </c>
      <c r="L296">
        <v>1.70422535211268</v>
      </c>
    </row>
    <row r="297" spans="1:12" x14ac:dyDescent="0.2">
      <c r="A297" t="s">
        <v>12</v>
      </c>
      <c r="B297">
        <v>35</v>
      </c>
      <c r="C297" t="s">
        <v>1039</v>
      </c>
      <c r="D297" t="s">
        <v>1036</v>
      </c>
      <c r="E297">
        <v>0.55700000000000005</v>
      </c>
      <c r="F297">
        <v>312</v>
      </c>
      <c r="G297">
        <v>99</v>
      </c>
      <c r="H297">
        <v>19</v>
      </c>
      <c r="I297">
        <v>1149</v>
      </c>
      <c r="J297" t="s">
        <v>13</v>
      </c>
      <c r="K297">
        <v>41358814</v>
      </c>
      <c r="L297">
        <v>3.9871794871794872</v>
      </c>
    </row>
    <row r="298" spans="1:12" x14ac:dyDescent="0.2">
      <c r="A298" t="s">
        <v>16</v>
      </c>
      <c r="B298">
        <v>30</v>
      </c>
      <c r="C298" t="s">
        <v>1039</v>
      </c>
      <c r="D298" t="s">
        <v>1036</v>
      </c>
      <c r="E298">
        <v>0.45800000000000002</v>
      </c>
      <c r="F298">
        <v>129</v>
      </c>
      <c r="G298">
        <v>42</v>
      </c>
      <c r="H298">
        <v>31</v>
      </c>
      <c r="I298">
        <v>823</v>
      </c>
      <c r="J298" t="s">
        <v>17</v>
      </c>
      <c r="K298">
        <v>41254920</v>
      </c>
      <c r="L298">
        <v>1.9503546099290781</v>
      </c>
    </row>
    <row r="299" spans="1:12" x14ac:dyDescent="0.2">
      <c r="A299" t="s">
        <v>22</v>
      </c>
      <c r="B299">
        <v>36</v>
      </c>
      <c r="C299" t="s">
        <v>1039</v>
      </c>
      <c r="D299" t="s">
        <v>1036</v>
      </c>
      <c r="E299">
        <v>0.57599999999999996</v>
      </c>
      <c r="F299">
        <v>346</v>
      </c>
      <c r="G299">
        <v>48</v>
      </c>
      <c r="H299">
        <v>25</v>
      </c>
      <c r="I299">
        <v>1126</v>
      </c>
      <c r="J299" t="s">
        <v>23</v>
      </c>
      <c r="K299">
        <v>39219565</v>
      </c>
      <c r="L299">
        <v>2.0833333333333335</v>
      </c>
    </row>
    <row r="300" spans="1:12" x14ac:dyDescent="0.2">
      <c r="A300" t="s">
        <v>26</v>
      </c>
      <c r="B300">
        <v>33</v>
      </c>
      <c r="C300" t="s">
        <v>1039</v>
      </c>
      <c r="D300" t="s">
        <v>1036</v>
      </c>
      <c r="E300">
        <v>0.55200000000000005</v>
      </c>
      <c r="F300">
        <v>177</v>
      </c>
      <c r="G300">
        <v>70</v>
      </c>
      <c r="H300">
        <v>9</v>
      </c>
      <c r="I300">
        <v>827</v>
      </c>
      <c r="J300" t="s">
        <v>27</v>
      </c>
      <c r="K300">
        <v>34502130</v>
      </c>
      <c r="L300">
        <v>3.0808080808080809</v>
      </c>
    </row>
    <row r="301" spans="1:12" x14ac:dyDescent="0.2">
      <c r="A301" t="s">
        <v>42</v>
      </c>
      <c r="B301">
        <v>30</v>
      </c>
      <c r="C301" t="s">
        <v>1039</v>
      </c>
      <c r="D301" t="s">
        <v>1036</v>
      </c>
      <c r="E301">
        <v>0.55400000000000005</v>
      </c>
      <c r="F301">
        <v>283</v>
      </c>
      <c r="G301">
        <v>62</v>
      </c>
      <c r="H301">
        <v>17</v>
      </c>
      <c r="I301">
        <v>1928</v>
      </c>
      <c r="J301" t="s">
        <v>43</v>
      </c>
      <c r="K301">
        <v>31626953</v>
      </c>
      <c r="L301">
        <v>2.4876847290640396</v>
      </c>
    </row>
    <row r="302" spans="1:12" x14ac:dyDescent="0.2">
      <c r="A302" t="s">
        <v>64</v>
      </c>
      <c r="B302">
        <v>24</v>
      </c>
      <c r="C302" t="s">
        <v>1039</v>
      </c>
      <c r="D302" t="s">
        <v>1036</v>
      </c>
      <c r="E302">
        <v>0.53300000000000003</v>
      </c>
      <c r="F302">
        <v>281</v>
      </c>
      <c r="G302">
        <v>53</v>
      </c>
      <c r="H302">
        <v>16</v>
      </c>
      <c r="I302">
        <v>1712</v>
      </c>
      <c r="J302" t="s">
        <v>65</v>
      </c>
      <c r="K302">
        <v>29467800</v>
      </c>
      <c r="L302">
        <v>1.3961352657004831</v>
      </c>
    </row>
    <row r="303" spans="1:12" x14ac:dyDescent="0.2">
      <c r="A303" t="s">
        <v>66</v>
      </c>
      <c r="B303">
        <v>29</v>
      </c>
      <c r="C303" t="s">
        <v>1039</v>
      </c>
      <c r="D303" t="s">
        <v>1036</v>
      </c>
      <c r="E303">
        <v>0.55400000000000005</v>
      </c>
      <c r="F303">
        <v>185</v>
      </c>
      <c r="G303">
        <v>44</v>
      </c>
      <c r="H303">
        <v>21</v>
      </c>
      <c r="I303">
        <v>1087</v>
      </c>
      <c r="J303" t="s">
        <v>67</v>
      </c>
      <c r="K303">
        <v>29354152</v>
      </c>
      <c r="L303">
        <v>3.4307692307692306</v>
      </c>
    </row>
    <row r="304" spans="1:12" x14ac:dyDescent="0.2">
      <c r="A304" t="s">
        <v>70</v>
      </c>
      <c r="B304">
        <v>24</v>
      </c>
      <c r="C304" t="s">
        <v>1039</v>
      </c>
      <c r="D304" t="s">
        <v>1036</v>
      </c>
      <c r="E304">
        <v>0.52300000000000002</v>
      </c>
      <c r="F304">
        <v>111</v>
      </c>
      <c r="G304">
        <v>45</v>
      </c>
      <c r="H304">
        <v>18</v>
      </c>
      <c r="I304">
        <v>796</v>
      </c>
      <c r="J304" t="s">
        <v>71</v>
      </c>
      <c r="K304">
        <v>28649250</v>
      </c>
      <c r="L304">
        <v>2.1785714285714284</v>
      </c>
    </row>
    <row r="305" spans="1:12" x14ac:dyDescent="0.2">
      <c r="A305" t="s">
        <v>86</v>
      </c>
      <c r="B305">
        <v>23</v>
      </c>
      <c r="C305" t="s">
        <v>1039</v>
      </c>
      <c r="D305" t="s">
        <v>1036</v>
      </c>
      <c r="E305">
        <v>0.55900000000000005</v>
      </c>
      <c r="F305">
        <v>194</v>
      </c>
      <c r="G305">
        <v>64</v>
      </c>
      <c r="H305">
        <v>13</v>
      </c>
      <c r="I305">
        <v>1018</v>
      </c>
      <c r="J305" t="s">
        <v>87</v>
      </c>
      <c r="K305">
        <v>27285000</v>
      </c>
      <c r="L305">
        <v>2.1388888888888888</v>
      </c>
    </row>
    <row r="306" spans="1:12" x14ac:dyDescent="0.2">
      <c r="A306" t="s">
        <v>92</v>
      </c>
      <c r="B306">
        <v>28</v>
      </c>
      <c r="C306" t="s">
        <v>1039</v>
      </c>
      <c r="D306" t="s">
        <v>1036</v>
      </c>
      <c r="E306">
        <v>0.54800000000000004</v>
      </c>
      <c r="F306">
        <v>334</v>
      </c>
      <c r="G306">
        <v>63</v>
      </c>
      <c r="H306">
        <v>30</v>
      </c>
      <c r="I306">
        <v>1176</v>
      </c>
      <c r="J306" t="s">
        <v>93</v>
      </c>
      <c r="K306">
        <v>24701834</v>
      </c>
      <c r="L306">
        <v>1.976923076923077</v>
      </c>
    </row>
    <row r="307" spans="1:12" x14ac:dyDescent="0.2">
      <c r="A307" t="s">
        <v>118</v>
      </c>
      <c r="B307">
        <v>28</v>
      </c>
      <c r="C307" t="s">
        <v>1039</v>
      </c>
      <c r="D307" t="s">
        <v>1036</v>
      </c>
      <c r="E307">
        <v>0.56000000000000005</v>
      </c>
      <c r="F307">
        <v>229</v>
      </c>
      <c r="G307">
        <v>31</v>
      </c>
      <c r="H307">
        <v>11</v>
      </c>
      <c r="I307">
        <v>1163</v>
      </c>
      <c r="J307" t="s">
        <v>119</v>
      </c>
      <c r="K307">
        <v>18975000</v>
      </c>
      <c r="L307">
        <v>1.96875</v>
      </c>
    </row>
    <row r="308" spans="1:12" x14ac:dyDescent="0.2">
      <c r="A308" t="s">
        <v>136</v>
      </c>
      <c r="B308">
        <v>30</v>
      </c>
      <c r="C308" t="s">
        <v>1039</v>
      </c>
      <c r="D308" t="s">
        <v>1036</v>
      </c>
      <c r="E308">
        <v>0.45400000000000001</v>
      </c>
      <c r="F308">
        <v>223</v>
      </c>
      <c r="G308">
        <v>98</v>
      </c>
      <c r="H308">
        <v>4</v>
      </c>
      <c r="I308">
        <v>582</v>
      </c>
      <c r="J308" t="s">
        <v>137</v>
      </c>
      <c r="K308">
        <v>17000000</v>
      </c>
      <c r="L308">
        <v>3.900900900900901</v>
      </c>
    </row>
    <row r="309" spans="1:12" x14ac:dyDescent="0.2">
      <c r="A309" t="s">
        <v>138</v>
      </c>
      <c r="B309">
        <v>31</v>
      </c>
      <c r="C309" t="s">
        <v>1039</v>
      </c>
      <c r="D309" t="s">
        <v>1036</v>
      </c>
      <c r="E309">
        <v>0.503</v>
      </c>
      <c r="F309">
        <v>244</v>
      </c>
      <c r="G309">
        <v>55</v>
      </c>
      <c r="H309">
        <v>24</v>
      </c>
      <c r="I309">
        <v>869</v>
      </c>
      <c r="J309" t="s">
        <v>139</v>
      </c>
      <c r="K309">
        <v>16875000</v>
      </c>
      <c r="L309">
        <v>2.3508771929824563</v>
      </c>
    </row>
    <row r="310" spans="1:12" x14ac:dyDescent="0.2">
      <c r="A310" t="s">
        <v>140</v>
      </c>
      <c r="B310">
        <v>32</v>
      </c>
      <c r="C310" t="s">
        <v>1039</v>
      </c>
      <c r="D310" t="s">
        <v>1036</v>
      </c>
      <c r="E310">
        <v>0.52700000000000002</v>
      </c>
      <c r="F310">
        <v>58</v>
      </c>
      <c r="G310">
        <v>14</v>
      </c>
      <c r="H310">
        <v>13</v>
      </c>
      <c r="I310">
        <v>481</v>
      </c>
      <c r="J310" t="s">
        <v>141</v>
      </c>
      <c r="K310">
        <v>16869276</v>
      </c>
      <c r="L310">
        <v>1.392156862745098</v>
      </c>
    </row>
    <row r="311" spans="1:12" x14ac:dyDescent="0.2">
      <c r="A311" t="s">
        <v>148</v>
      </c>
      <c r="B311">
        <v>27</v>
      </c>
      <c r="C311" t="s">
        <v>1039</v>
      </c>
      <c r="D311" t="s">
        <v>1036</v>
      </c>
      <c r="E311">
        <v>0.48399999999999999</v>
      </c>
      <c r="F311">
        <v>211</v>
      </c>
      <c r="G311">
        <v>70</v>
      </c>
      <c r="H311">
        <v>13</v>
      </c>
      <c r="I311">
        <v>941</v>
      </c>
      <c r="J311" t="s">
        <v>149</v>
      </c>
      <c r="K311">
        <v>16000000</v>
      </c>
      <c r="L311">
        <v>2.1533742331288344</v>
      </c>
    </row>
    <row r="312" spans="1:12" x14ac:dyDescent="0.2">
      <c r="A312" t="s">
        <v>168</v>
      </c>
      <c r="B312">
        <v>24</v>
      </c>
      <c r="C312" t="s">
        <v>1039</v>
      </c>
      <c r="D312" t="s">
        <v>1036</v>
      </c>
      <c r="E312">
        <v>0.48499999999999999</v>
      </c>
      <c r="F312">
        <v>473</v>
      </c>
      <c r="G312">
        <v>101</v>
      </c>
      <c r="H312">
        <v>7</v>
      </c>
      <c r="I312">
        <v>1051</v>
      </c>
      <c r="J312" t="s">
        <v>169</v>
      </c>
      <c r="K312">
        <v>14286000</v>
      </c>
      <c r="L312">
        <v>3.1025641025641026</v>
      </c>
    </row>
    <row r="313" spans="1:12" x14ac:dyDescent="0.2">
      <c r="A313" t="s">
        <v>174</v>
      </c>
      <c r="B313">
        <v>32</v>
      </c>
      <c r="C313" t="s">
        <v>1039</v>
      </c>
      <c r="D313" t="s">
        <v>1036</v>
      </c>
      <c r="E313">
        <v>0.54400000000000004</v>
      </c>
      <c r="F313">
        <v>116</v>
      </c>
      <c r="G313">
        <v>42</v>
      </c>
      <c r="H313">
        <v>3</v>
      </c>
      <c r="I313">
        <v>736</v>
      </c>
      <c r="J313" t="s">
        <v>175</v>
      </c>
      <c r="K313">
        <v>13535714</v>
      </c>
      <c r="L313">
        <v>2.4545454545454546</v>
      </c>
    </row>
    <row r="314" spans="1:12" x14ac:dyDescent="0.2">
      <c r="A314" t="s">
        <v>180</v>
      </c>
      <c r="B314">
        <v>24</v>
      </c>
      <c r="C314" t="s">
        <v>1039</v>
      </c>
      <c r="D314" t="s">
        <v>1036</v>
      </c>
      <c r="E314">
        <v>0.54700000000000004</v>
      </c>
      <c r="F314">
        <v>162</v>
      </c>
      <c r="G314">
        <v>30</v>
      </c>
      <c r="H314">
        <v>7</v>
      </c>
      <c r="I314">
        <v>724</v>
      </c>
      <c r="J314" t="s">
        <v>181</v>
      </c>
      <c r="K314">
        <v>13425895</v>
      </c>
      <c r="L314">
        <v>1.4666666666666666</v>
      </c>
    </row>
    <row r="315" spans="1:12" x14ac:dyDescent="0.2">
      <c r="A315" t="s">
        <v>182</v>
      </c>
      <c r="B315">
        <v>32</v>
      </c>
      <c r="C315" t="s">
        <v>1039</v>
      </c>
      <c r="D315" t="s">
        <v>1036</v>
      </c>
      <c r="E315">
        <v>0.55000000000000004</v>
      </c>
      <c r="F315">
        <v>119</v>
      </c>
      <c r="G315">
        <v>29</v>
      </c>
      <c r="H315">
        <v>28</v>
      </c>
      <c r="I315">
        <v>278</v>
      </c>
      <c r="J315" t="s">
        <v>183</v>
      </c>
      <c r="K315">
        <v>13333333</v>
      </c>
      <c r="L315">
        <v>2.2352941176470589</v>
      </c>
    </row>
    <row r="316" spans="1:12" x14ac:dyDescent="0.2">
      <c r="A316" t="s">
        <v>210</v>
      </c>
      <c r="B316">
        <v>27</v>
      </c>
      <c r="C316" t="s">
        <v>1039</v>
      </c>
      <c r="D316" t="s">
        <v>1036</v>
      </c>
      <c r="E316">
        <v>0.54900000000000004</v>
      </c>
      <c r="F316">
        <v>179</v>
      </c>
      <c r="G316">
        <v>62</v>
      </c>
      <c r="H316">
        <v>26</v>
      </c>
      <c r="I316">
        <v>653</v>
      </c>
      <c r="J316" t="s">
        <v>211</v>
      </c>
      <c r="K316">
        <v>12073020</v>
      </c>
      <c r="L316">
        <v>1.9242424242424243</v>
      </c>
    </row>
    <row r="317" spans="1:12" x14ac:dyDescent="0.2">
      <c r="A317" t="s">
        <v>214</v>
      </c>
      <c r="B317">
        <v>28</v>
      </c>
      <c r="C317" t="s">
        <v>1039</v>
      </c>
      <c r="D317" t="s">
        <v>1036</v>
      </c>
      <c r="E317">
        <v>0.52200000000000002</v>
      </c>
      <c r="F317">
        <v>274</v>
      </c>
      <c r="G317">
        <v>61</v>
      </c>
      <c r="H317">
        <v>10</v>
      </c>
      <c r="I317">
        <v>1251</v>
      </c>
      <c r="J317" t="s">
        <v>215</v>
      </c>
      <c r="K317">
        <v>11500000</v>
      </c>
      <c r="L317">
        <v>1.4608695652173913</v>
      </c>
    </row>
    <row r="318" spans="1:12" x14ac:dyDescent="0.2">
      <c r="A318" t="s">
        <v>222</v>
      </c>
      <c r="B318">
        <v>23</v>
      </c>
      <c r="C318" t="s">
        <v>1039</v>
      </c>
      <c r="D318" t="s">
        <v>1036</v>
      </c>
      <c r="E318">
        <v>0.53700000000000003</v>
      </c>
      <c r="F318">
        <v>263</v>
      </c>
      <c r="G318">
        <v>82</v>
      </c>
      <c r="H318">
        <v>31</v>
      </c>
      <c r="I318">
        <v>802</v>
      </c>
      <c r="J318" t="s">
        <v>223</v>
      </c>
      <c r="K318">
        <v>11003782</v>
      </c>
      <c r="L318">
        <v>2.5691056910569108</v>
      </c>
    </row>
    <row r="319" spans="1:12" x14ac:dyDescent="0.2">
      <c r="A319" t="s">
        <v>224</v>
      </c>
      <c r="B319">
        <v>27</v>
      </c>
      <c r="C319" t="s">
        <v>1039</v>
      </c>
      <c r="D319" t="s">
        <v>1036</v>
      </c>
      <c r="E319">
        <v>0.498</v>
      </c>
      <c r="F319">
        <v>195</v>
      </c>
      <c r="G319">
        <v>61</v>
      </c>
      <c r="H319">
        <v>24</v>
      </c>
      <c r="I319">
        <v>715</v>
      </c>
      <c r="J319" t="s">
        <v>225</v>
      </c>
      <c r="K319">
        <v>10865952</v>
      </c>
      <c r="L319">
        <v>1.9367088607594938</v>
      </c>
    </row>
    <row r="320" spans="1:12" x14ac:dyDescent="0.2">
      <c r="A320" t="s">
        <v>242</v>
      </c>
      <c r="B320">
        <v>19</v>
      </c>
      <c r="C320" t="s">
        <v>1039</v>
      </c>
      <c r="D320" t="s">
        <v>1036</v>
      </c>
      <c r="E320">
        <v>0.48799999999999999</v>
      </c>
      <c r="F320">
        <v>336</v>
      </c>
      <c r="G320">
        <v>82</v>
      </c>
      <c r="H320">
        <v>36</v>
      </c>
      <c r="I320">
        <v>1392</v>
      </c>
      <c r="J320" t="s">
        <v>243</v>
      </c>
      <c r="K320">
        <v>9757440</v>
      </c>
      <c r="L320">
        <v>1.3187500000000001</v>
      </c>
    </row>
    <row r="321" spans="1:12" x14ac:dyDescent="0.2">
      <c r="A321" t="s">
        <v>250</v>
      </c>
      <c r="B321">
        <v>22</v>
      </c>
      <c r="C321" t="s">
        <v>1039</v>
      </c>
      <c r="D321" t="s">
        <v>1036</v>
      </c>
      <c r="E321">
        <v>0.54800000000000004</v>
      </c>
      <c r="F321">
        <v>161</v>
      </c>
      <c r="G321">
        <v>60</v>
      </c>
      <c r="H321">
        <v>31</v>
      </c>
      <c r="I321">
        <v>472</v>
      </c>
      <c r="J321" t="s">
        <v>251</v>
      </c>
      <c r="K321">
        <v>9571712</v>
      </c>
      <c r="L321">
        <v>2</v>
      </c>
    </row>
    <row r="322" spans="1:12" x14ac:dyDescent="0.2">
      <c r="A322" t="s">
        <v>272</v>
      </c>
      <c r="B322">
        <v>21</v>
      </c>
      <c r="C322" t="s">
        <v>1039</v>
      </c>
      <c r="D322" t="s">
        <v>1036</v>
      </c>
      <c r="E322">
        <v>0.48699999999999999</v>
      </c>
      <c r="F322">
        <v>252</v>
      </c>
      <c r="G322">
        <v>57</v>
      </c>
      <c r="H322">
        <v>13</v>
      </c>
      <c r="I322">
        <v>1204</v>
      </c>
      <c r="J322" t="s">
        <v>273</v>
      </c>
      <c r="K322">
        <v>9166800</v>
      </c>
      <c r="L322">
        <v>2.2906403940886699</v>
      </c>
    </row>
    <row r="323" spans="1:12" x14ac:dyDescent="0.2">
      <c r="A323" t="s">
        <v>280</v>
      </c>
      <c r="B323">
        <v>24</v>
      </c>
      <c r="C323" t="s">
        <v>1039</v>
      </c>
      <c r="D323" t="s">
        <v>1036</v>
      </c>
      <c r="E323">
        <v>0.48499999999999999</v>
      </c>
      <c r="F323">
        <v>140</v>
      </c>
      <c r="G323">
        <v>64</v>
      </c>
      <c r="H323">
        <v>6</v>
      </c>
      <c r="I323">
        <v>442</v>
      </c>
      <c r="J323" t="s">
        <v>281</v>
      </c>
      <c r="K323">
        <v>8817143</v>
      </c>
      <c r="L323">
        <v>5.395833333333333</v>
      </c>
    </row>
    <row r="324" spans="1:12" x14ac:dyDescent="0.2">
      <c r="A324" t="s">
        <v>294</v>
      </c>
      <c r="B324">
        <v>23</v>
      </c>
      <c r="C324" t="s">
        <v>1039</v>
      </c>
      <c r="D324" t="s">
        <v>1036</v>
      </c>
      <c r="E324">
        <v>0.52300000000000002</v>
      </c>
      <c r="F324">
        <v>203</v>
      </c>
      <c r="G324">
        <v>87</v>
      </c>
      <c r="H324">
        <v>27</v>
      </c>
      <c r="I324">
        <v>1461</v>
      </c>
      <c r="J324" t="s">
        <v>295</v>
      </c>
      <c r="K324">
        <v>8099627</v>
      </c>
      <c r="L324">
        <v>2.396551724137931</v>
      </c>
    </row>
    <row r="325" spans="1:12" x14ac:dyDescent="0.2">
      <c r="A325" t="s">
        <v>296</v>
      </c>
      <c r="B325">
        <v>21</v>
      </c>
      <c r="C325" t="s">
        <v>1039</v>
      </c>
      <c r="D325" t="s">
        <v>1036</v>
      </c>
      <c r="E325">
        <v>0.55000000000000004</v>
      </c>
      <c r="F325">
        <v>527</v>
      </c>
      <c r="G325">
        <v>64</v>
      </c>
      <c r="H325">
        <v>36</v>
      </c>
      <c r="I325">
        <v>1830</v>
      </c>
      <c r="J325" t="s">
        <v>297</v>
      </c>
      <c r="K325">
        <v>8049360</v>
      </c>
      <c r="L325">
        <v>2.0177935943060499</v>
      </c>
    </row>
    <row r="326" spans="1:12" x14ac:dyDescent="0.2">
      <c r="A326" t="s">
        <v>348</v>
      </c>
      <c r="B326">
        <v>21</v>
      </c>
      <c r="C326" t="s">
        <v>1039</v>
      </c>
      <c r="D326" t="s">
        <v>1036</v>
      </c>
      <c r="E326">
        <v>0.44900000000000001</v>
      </c>
      <c r="F326">
        <v>104</v>
      </c>
      <c r="G326">
        <v>17</v>
      </c>
      <c r="H326">
        <v>9</v>
      </c>
      <c r="I326">
        <v>180</v>
      </c>
      <c r="J326" t="s">
        <v>349</v>
      </c>
      <c r="K326">
        <v>6104280</v>
      </c>
      <c r="L326">
        <v>0.8571428571428571</v>
      </c>
    </row>
    <row r="327" spans="1:12" x14ac:dyDescent="0.2">
      <c r="A327" t="s">
        <v>374</v>
      </c>
      <c r="B327">
        <v>24</v>
      </c>
      <c r="C327" t="s">
        <v>1039</v>
      </c>
      <c r="D327" t="s">
        <v>1036</v>
      </c>
      <c r="E327">
        <v>0.59699999999999998</v>
      </c>
      <c r="F327">
        <v>161</v>
      </c>
      <c r="G327">
        <v>23</v>
      </c>
      <c r="H327">
        <v>9</v>
      </c>
      <c r="I327">
        <v>520</v>
      </c>
      <c r="J327" t="s">
        <v>375</v>
      </c>
      <c r="K327">
        <v>5273826</v>
      </c>
      <c r="L327">
        <v>2.1666666666666665</v>
      </c>
    </row>
    <row r="328" spans="1:12" x14ac:dyDescent="0.2">
      <c r="A328" t="s">
        <v>376</v>
      </c>
      <c r="B328">
        <v>24</v>
      </c>
      <c r="C328" t="s">
        <v>1039</v>
      </c>
      <c r="D328" t="s">
        <v>1036</v>
      </c>
      <c r="E328">
        <v>0.52</v>
      </c>
      <c r="F328">
        <v>235</v>
      </c>
      <c r="G328">
        <v>52</v>
      </c>
      <c r="H328">
        <v>15</v>
      </c>
      <c r="I328">
        <v>1401</v>
      </c>
      <c r="J328" t="s">
        <v>377</v>
      </c>
      <c r="K328">
        <v>5195501</v>
      </c>
      <c r="L328">
        <v>1.8843537414965987</v>
      </c>
    </row>
    <row r="329" spans="1:12" x14ac:dyDescent="0.2">
      <c r="A329" t="s">
        <v>434</v>
      </c>
      <c r="B329">
        <v>22</v>
      </c>
      <c r="C329" t="s">
        <v>1039</v>
      </c>
      <c r="D329" t="s">
        <v>1036</v>
      </c>
      <c r="E329">
        <v>0.57099999999999995</v>
      </c>
      <c r="F329">
        <v>166</v>
      </c>
      <c r="G329">
        <v>27</v>
      </c>
      <c r="H329">
        <v>23</v>
      </c>
      <c r="I329">
        <v>830</v>
      </c>
      <c r="J329" t="s">
        <v>435</v>
      </c>
      <c r="K329">
        <v>4141320</v>
      </c>
      <c r="L329">
        <v>1.9528301886792452</v>
      </c>
    </row>
    <row r="330" spans="1:12" x14ac:dyDescent="0.2">
      <c r="A330" t="s">
        <v>456</v>
      </c>
      <c r="B330">
        <v>25</v>
      </c>
      <c r="C330" t="s">
        <v>1039</v>
      </c>
      <c r="D330" t="s">
        <v>1036</v>
      </c>
      <c r="E330">
        <v>0.54700000000000004</v>
      </c>
      <c r="F330">
        <v>92</v>
      </c>
      <c r="G330">
        <v>29</v>
      </c>
      <c r="H330">
        <v>9</v>
      </c>
      <c r="I330">
        <v>248</v>
      </c>
      <c r="J330" t="s">
        <v>457</v>
      </c>
      <c r="K330">
        <v>3925000</v>
      </c>
      <c r="L330">
        <v>4.4375</v>
      </c>
    </row>
    <row r="331" spans="1:12" x14ac:dyDescent="0.2">
      <c r="A331" t="s">
        <v>464</v>
      </c>
      <c r="B331">
        <v>20</v>
      </c>
      <c r="C331" t="s">
        <v>1039</v>
      </c>
      <c r="D331" t="s">
        <v>1036</v>
      </c>
      <c r="E331">
        <v>0.56899999999999995</v>
      </c>
      <c r="F331">
        <v>173</v>
      </c>
      <c r="G331">
        <v>77</v>
      </c>
      <c r="H331">
        <v>28</v>
      </c>
      <c r="I331">
        <v>753</v>
      </c>
      <c r="J331" t="s">
        <v>465</v>
      </c>
      <c r="K331">
        <v>3831840</v>
      </c>
      <c r="L331">
        <v>3.3586956521739131</v>
      </c>
    </row>
    <row r="332" spans="1:12" x14ac:dyDescent="0.2">
      <c r="A332" t="s">
        <v>474</v>
      </c>
      <c r="B332">
        <v>19</v>
      </c>
      <c r="C332" t="s">
        <v>1039</v>
      </c>
      <c r="D332" t="s">
        <v>1036</v>
      </c>
      <c r="E332">
        <v>0.44500000000000001</v>
      </c>
      <c r="F332">
        <v>71</v>
      </c>
      <c r="G332">
        <v>38</v>
      </c>
      <c r="H332">
        <v>10</v>
      </c>
      <c r="I332">
        <v>343</v>
      </c>
      <c r="J332" t="s">
        <v>475</v>
      </c>
      <c r="K332">
        <v>3640200</v>
      </c>
      <c r="L332">
        <v>3.6470588235294117</v>
      </c>
    </row>
    <row r="333" spans="1:12" x14ac:dyDescent="0.2">
      <c r="A333" t="s">
        <v>478</v>
      </c>
      <c r="B333">
        <v>34</v>
      </c>
      <c r="C333" t="s">
        <v>1039</v>
      </c>
      <c r="D333" t="s">
        <v>1036</v>
      </c>
      <c r="E333">
        <v>0.48399999999999999</v>
      </c>
      <c r="F333">
        <v>93</v>
      </c>
      <c r="G333">
        <v>38</v>
      </c>
      <c r="H333">
        <v>17</v>
      </c>
      <c r="I333">
        <v>279</v>
      </c>
      <c r="J333" t="s">
        <v>479</v>
      </c>
      <c r="K333">
        <v>3623000</v>
      </c>
      <c r="L333">
        <v>2.0769230769230771</v>
      </c>
    </row>
    <row r="334" spans="1:12" x14ac:dyDescent="0.2">
      <c r="A334" t="s">
        <v>490</v>
      </c>
      <c r="B334">
        <v>26</v>
      </c>
      <c r="C334" t="s">
        <v>1039</v>
      </c>
      <c r="D334" t="s">
        <v>1036</v>
      </c>
      <c r="E334">
        <v>0.503</v>
      </c>
      <c r="F334">
        <v>107</v>
      </c>
      <c r="G334">
        <v>26</v>
      </c>
      <c r="H334">
        <v>36</v>
      </c>
      <c r="I334">
        <v>553</v>
      </c>
      <c r="J334" t="s">
        <v>491</v>
      </c>
      <c r="K334">
        <v>3516284</v>
      </c>
      <c r="L334">
        <v>2.8222222222222224</v>
      </c>
    </row>
    <row r="335" spans="1:12" x14ac:dyDescent="0.2">
      <c r="A335" t="s">
        <v>516</v>
      </c>
      <c r="B335">
        <v>22</v>
      </c>
      <c r="C335" t="s">
        <v>1039</v>
      </c>
      <c r="D335" t="s">
        <v>1036</v>
      </c>
      <c r="E335">
        <v>0.502</v>
      </c>
      <c r="F335">
        <v>144</v>
      </c>
      <c r="G335">
        <v>47</v>
      </c>
      <c r="H335">
        <v>22</v>
      </c>
      <c r="I335">
        <v>508</v>
      </c>
      <c r="J335" t="s">
        <v>517</v>
      </c>
      <c r="K335">
        <v>3113160</v>
      </c>
      <c r="L335">
        <v>1.4782608695652173</v>
      </c>
    </row>
    <row r="336" spans="1:12" x14ac:dyDescent="0.2">
      <c r="A336" t="s">
        <v>518</v>
      </c>
      <c r="B336">
        <v>29</v>
      </c>
      <c r="C336" t="s">
        <v>1039</v>
      </c>
      <c r="D336" t="s">
        <v>1036</v>
      </c>
      <c r="E336">
        <v>0.502</v>
      </c>
      <c r="F336">
        <v>134</v>
      </c>
      <c r="G336">
        <v>79</v>
      </c>
      <c r="H336">
        <v>14</v>
      </c>
      <c r="I336">
        <v>396</v>
      </c>
      <c r="J336" t="s">
        <v>519</v>
      </c>
      <c r="K336">
        <v>3100000</v>
      </c>
      <c r="L336">
        <v>3.1780821917808217</v>
      </c>
    </row>
    <row r="337" spans="1:12" x14ac:dyDescent="0.2">
      <c r="A337" t="s">
        <v>524</v>
      </c>
      <c r="B337">
        <v>28</v>
      </c>
      <c r="C337" t="s">
        <v>1039</v>
      </c>
      <c r="D337" t="s">
        <v>1036</v>
      </c>
      <c r="E337">
        <v>0.51</v>
      </c>
      <c r="F337">
        <v>54</v>
      </c>
      <c r="G337">
        <v>36</v>
      </c>
      <c r="H337">
        <v>7</v>
      </c>
      <c r="I337">
        <v>411</v>
      </c>
      <c r="J337" t="s">
        <v>525</v>
      </c>
      <c r="K337">
        <v>3000000</v>
      </c>
      <c r="L337">
        <v>2.4545454545454546</v>
      </c>
    </row>
    <row r="338" spans="1:12" x14ac:dyDescent="0.2">
      <c r="A338" t="s">
        <v>536</v>
      </c>
      <c r="B338">
        <v>22</v>
      </c>
      <c r="C338" t="s">
        <v>1039</v>
      </c>
      <c r="D338" t="s">
        <v>1036</v>
      </c>
      <c r="E338">
        <v>0.502</v>
      </c>
      <c r="F338">
        <v>155</v>
      </c>
      <c r="G338">
        <v>29</v>
      </c>
      <c r="H338">
        <v>15</v>
      </c>
      <c r="I338">
        <v>669</v>
      </c>
      <c r="J338" t="s">
        <v>537</v>
      </c>
      <c r="K338">
        <v>2892000</v>
      </c>
      <c r="L338">
        <v>1.5538461538461539</v>
      </c>
    </row>
    <row r="339" spans="1:12" x14ac:dyDescent="0.2">
      <c r="A339" t="s">
        <v>538</v>
      </c>
      <c r="B339">
        <v>20</v>
      </c>
      <c r="C339" t="s">
        <v>1039</v>
      </c>
      <c r="D339" t="s">
        <v>1036</v>
      </c>
      <c r="E339">
        <v>0.47299999999999998</v>
      </c>
      <c r="F339">
        <v>78</v>
      </c>
      <c r="G339">
        <v>16</v>
      </c>
      <c r="H339">
        <v>3</v>
      </c>
      <c r="I339">
        <v>101</v>
      </c>
      <c r="J339" t="s">
        <v>539</v>
      </c>
      <c r="K339">
        <v>2816760</v>
      </c>
      <c r="L339">
        <v>1.6470588235294117</v>
      </c>
    </row>
    <row r="340" spans="1:12" x14ac:dyDescent="0.2">
      <c r="A340" t="s">
        <v>542</v>
      </c>
      <c r="B340">
        <v>26</v>
      </c>
      <c r="C340" t="s">
        <v>1039</v>
      </c>
      <c r="D340" t="s">
        <v>1036</v>
      </c>
      <c r="E340">
        <v>0.52600000000000002</v>
      </c>
      <c r="F340">
        <v>170</v>
      </c>
      <c r="G340">
        <v>64</v>
      </c>
      <c r="H340">
        <v>15</v>
      </c>
      <c r="I340">
        <v>370</v>
      </c>
      <c r="J340" t="s">
        <v>543</v>
      </c>
      <c r="K340">
        <v>2750000</v>
      </c>
      <c r="L340">
        <v>2.1052631578947367</v>
      </c>
    </row>
    <row r="341" spans="1:12" x14ac:dyDescent="0.2">
      <c r="A341" t="s">
        <v>548</v>
      </c>
      <c r="B341">
        <v>22</v>
      </c>
      <c r="C341" t="s">
        <v>1039</v>
      </c>
      <c r="D341" t="s">
        <v>1036</v>
      </c>
      <c r="E341">
        <v>0.45900000000000002</v>
      </c>
      <c r="F341">
        <v>156</v>
      </c>
      <c r="G341">
        <v>54</v>
      </c>
      <c r="H341">
        <v>28</v>
      </c>
      <c r="I341">
        <v>316</v>
      </c>
      <c r="J341" t="s">
        <v>549</v>
      </c>
      <c r="K341">
        <v>2651040</v>
      </c>
      <c r="L341">
        <v>1.4651162790697674</v>
      </c>
    </row>
    <row r="342" spans="1:12" x14ac:dyDescent="0.2">
      <c r="A342" t="s">
        <v>558</v>
      </c>
      <c r="B342">
        <v>25</v>
      </c>
      <c r="C342" t="s">
        <v>1039</v>
      </c>
      <c r="D342" t="s">
        <v>1036</v>
      </c>
      <c r="E342">
        <v>0.54700000000000004</v>
      </c>
      <c r="F342">
        <v>160</v>
      </c>
      <c r="G342">
        <v>46</v>
      </c>
      <c r="H342">
        <v>8</v>
      </c>
      <c r="I342">
        <v>532</v>
      </c>
      <c r="J342" t="s">
        <v>559</v>
      </c>
      <c r="K342">
        <v>2545320</v>
      </c>
      <c r="L342">
        <v>2.25</v>
      </c>
    </row>
    <row r="343" spans="1:12" x14ac:dyDescent="0.2">
      <c r="A343" t="s">
        <v>572</v>
      </c>
      <c r="B343">
        <v>23</v>
      </c>
      <c r="C343" t="s">
        <v>1039</v>
      </c>
      <c r="D343" t="s">
        <v>1036</v>
      </c>
      <c r="E343">
        <v>0.56999999999999995</v>
      </c>
      <c r="F343">
        <v>91</v>
      </c>
      <c r="G343">
        <v>20</v>
      </c>
      <c r="H343">
        <v>6</v>
      </c>
      <c r="I343">
        <v>353</v>
      </c>
      <c r="J343" t="s">
        <v>573</v>
      </c>
      <c r="K343">
        <v>2303040</v>
      </c>
      <c r="L343">
        <v>2.5531914893617023</v>
      </c>
    </row>
    <row r="344" spans="1:12" x14ac:dyDescent="0.2">
      <c r="A344" t="s">
        <v>580</v>
      </c>
      <c r="B344">
        <v>21</v>
      </c>
      <c r="C344" t="s">
        <v>1039</v>
      </c>
      <c r="D344" t="s">
        <v>1036</v>
      </c>
      <c r="E344">
        <v>0.56899999999999995</v>
      </c>
      <c r="F344">
        <v>140</v>
      </c>
      <c r="G344">
        <v>18</v>
      </c>
      <c r="H344">
        <v>8</v>
      </c>
      <c r="I344">
        <v>502</v>
      </c>
      <c r="J344" t="s">
        <v>581</v>
      </c>
      <c r="K344">
        <v>2252040</v>
      </c>
      <c r="L344">
        <v>2.0697674418604652</v>
      </c>
    </row>
    <row r="345" spans="1:12" x14ac:dyDescent="0.2">
      <c r="A345" t="s">
        <v>598</v>
      </c>
      <c r="B345">
        <v>24</v>
      </c>
      <c r="C345" t="s">
        <v>1039</v>
      </c>
      <c r="D345" t="s">
        <v>1036</v>
      </c>
      <c r="E345">
        <v>0.57599999999999996</v>
      </c>
      <c r="F345">
        <v>128</v>
      </c>
      <c r="G345">
        <v>30</v>
      </c>
      <c r="H345">
        <v>9</v>
      </c>
      <c r="I345">
        <v>184</v>
      </c>
      <c r="J345" t="s">
        <v>599</v>
      </c>
      <c r="K345">
        <v>2100000</v>
      </c>
      <c r="L345">
        <v>2.6111111111111112</v>
      </c>
    </row>
    <row r="346" spans="1:12" x14ac:dyDescent="0.2">
      <c r="A346" t="s">
        <v>602</v>
      </c>
      <c r="B346">
        <v>21</v>
      </c>
      <c r="C346" t="s">
        <v>1039</v>
      </c>
      <c r="D346" t="s">
        <v>1036</v>
      </c>
      <c r="E346">
        <v>0.53500000000000003</v>
      </c>
      <c r="F346">
        <v>92</v>
      </c>
      <c r="G346">
        <v>26</v>
      </c>
      <c r="H346">
        <v>9</v>
      </c>
      <c r="I346">
        <v>612</v>
      </c>
      <c r="J346" t="s">
        <v>603</v>
      </c>
      <c r="K346">
        <v>2063280</v>
      </c>
      <c r="L346">
        <v>1.9411764705882353</v>
      </c>
    </row>
    <row r="347" spans="1:12" x14ac:dyDescent="0.2">
      <c r="A347" t="s">
        <v>616</v>
      </c>
      <c r="B347">
        <v>19</v>
      </c>
      <c r="C347" t="s">
        <v>1039</v>
      </c>
      <c r="D347" t="s">
        <v>1036</v>
      </c>
      <c r="E347">
        <v>0.45400000000000001</v>
      </c>
      <c r="F347">
        <v>211</v>
      </c>
      <c r="G347">
        <v>56</v>
      </c>
      <c r="H347">
        <v>11</v>
      </c>
      <c r="I347">
        <v>658</v>
      </c>
      <c r="J347" t="s">
        <v>617</v>
      </c>
      <c r="K347">
        <v>2000000</v>
      </c>
      <c r="L347">
        <v>1.6099290780141844</v>
      </c>
    </row>
    <row r="348" spans="1:12" x14ac:dyDescent="0.2">
      <c r="A348" t="s">
        <v>618</v>
      </c>
      <c r="B348">
        <v>26</v>
      </c>
      <c r="C348" t="s">
        <v>1039</v>
      </c>
      <c r="D348" t="s">
        <v>1036</v>
      </c>
      <c r="E348">
        <v>0.57599999999999996</v>
      </c>
      <c r="F348">
        <v>144</v>
      </c>
      <c r="G348">
        <v>36</v>
      </c>
      <c r="H348">
        <v>16</v>
      </c>
      <c r="I348">
        <v>505</v>
      </c>
      <c r="J348" t="s">
        <v>619</v>
      </c>
      <c r="K348">
        <v>1977011</v>
      </c>
      <c r="L348">
        <v>3.6166666666666667</v>
      </c>
    </row>
    <row r="349" spans="1:12" x14ac:dyDescent="0.2">
      <c r="A349" t="s">
        <v>626</v>
      </c>
      <c r="B349">
        <v>22</v>
      </c>
      <c r="C349" t="s">
        <v>1039</v>
      </c>
      <c r="D349" t="s">
        <v>1036</v>
      </c>
      <c r="E349">
        <v>0.58599999999999997</v>
      </c>
      <c r="F349">
        <v>210</v>
      </c>
      <c r="G349">
        <v>41</v>
      </c>
      <c r="H349">
        <v>16</v>
      </c>
      <c r="I349">
        <v>625</v>
      </c>
      <c r="J349" t="s">
        <v>627</v>
      </c>
      <c r="K349">
        <v>1936440</v>
      </c>
      <c r="L349">
        <v>2</v>
      </c>
    </row>
    <row r="350" spans="1:12" x14ac:dyDescent="0.2">
      <c r="A350" t="s">
        <v>644</v>
      </c>
      <c r="B350">
        <v>28</v>
      </c>
      <c r="C350" t="s">
        <v>1039</v>
      </c>
      <c r="D350" t="s">
        <v>1036</v>
      </c>
      <c r="E350">
        <v>0.60799999999999998</v>
      </c>
      <c r="F350">
        <v>180</v>
      </c>
      <c r="G350">
        <v>38</v>
      </c>
      <c r="H350">
        <v>8</v>
      </c>
      <c r="I350">
        <v>373</v>
      </c>
      <c r="J350" t="s">
        <v>645</v>
      </c>
      <c r="K350">
        <v>1762796</v>
      </c>
      <c r="L350">
        <v>2.4333333333333331</v>
      </c>
    </row>
    <row r="351" spans="1:12" x14ac:dyDescent="0.2">
      <c r="A351" t="s">
        <v>642</v>
      </c>
      <c r="B351">
        <v>24</v>
      </c>
      <c r="C351" t="s">
        <v>1039</v>
      </c>
      <c r="D351" t="s">
        <v>1036</v>
      </c>
      <c r="E351">
        <v>0.48299999999999998</v>
      </c>
      <c r="F351">
        <v>182</v>
      </c>
      <c r="G351">
        <v>31</v>
      </c>
      <c r="H351">
        <v>22</v>
      </c>
      <c r="I351">
        <v>385</v>
      </c>
      <c r="J351" t="s">
        <v>643</v>
      </c>
      <c r="K351">
        <v>1762796</v>
      </c>
      <c r="L351">
        <v>2</v>
      </c>
    </row>
    <row r="352" spans="1:12" x14ac:dyDescent="0.2">
      <c r="A352" t="s">
        <v>654</v>
      </c>
      <c r="B352">
        <v>20</v>
      </c>
      <c r="C352" t="s">
        <v>1039</v>
      </c>
      <c r="D352" t="s">
        <v>1036</v>
      </c>
      <c r="E352">
        <v>0.49299999999999999</v>
      </c>
      <c r="F352">
        <v>99</v>
      </c>
      <c r="G352">
        <v>19</v>
      </c>
      <c r="H352">
        <v>8</v>
      </c>
      <c r="I352">
        <v>431</v>
      </c>
      <c r="J352" t="s">
        <v>655</v>
      </c>
      <c r="K352">
        <v>1717981</v>
      </c>
      <c r="L352">
        <v>1.8021978021978022</v>
      </c>
    </row>
    <row r="353" spans="1:12" x14ac:dyDescent="0.2">
      <c r="A353" t="s">
        <v>664</v>
      </c>
      <c r="B353">
        <v>24</v>
      </c>
      <c r="C353" t="s">
        <v>1039</v>
      </c>
      <c r="D353" t="s">
        <v>1036</v>
      </c>
      <c r="E353">
        <v>0.58799999999999997</v>
      </c>
      <c r="F353">
        <v>231</v>
      </c>
      <c r="G353">
        <v>35</v>
      </c>
      <c r="H353">
        <v>1</v>
      </c>
      <c r="I353">
        <v>857</v>
      </c>
      <c r="J353" t="s">
        <v>665</v>
      </c>
      <c r="K353">
        <v>1663861</v>
      </c>
      <c r="L353">
        <v>2.9874999999999998</v>
      </c>
    </row>
    <row r="354" spans="1:12" x14ac:dyDescent="0.2">
      <c r="A354" t="s">
        <v>740</v>
      </c>
      <c r="B354">
        <v>31</v>
      </c>
      <c r="C354" t="s">
        <v>1039</v>
      </c>
      <c r="D354" t="s">
        <v>1036</v>
      </c>
      <c r="E354">
        <v>0.38900000000000001</v>
      </c>
      <c r="F354">
        <v>4</v>
      </c>
      <c r="G354">
        <v>1</v>
      </c>
      <c r="H354">
        <v>0</v>
      </c>
      <c r="I354">
        <v>23</v>
      </c>
      <c r="J354" t="s">
        <v>741</v>
      </c>
      <c r="K354">
        <v>1620564</v>
      </c>
      <c r="L354">
        <v>0.83333333333333337</v>
      </c>
    </row>
    <row r="355" spans="1:12" x14ac:dyDescent="0.2">
      <c r="A355" t="s">
        <v>696</v>
      </c>
      <c r="B355">
        <v>29</v>
      </c>
      <c r="C355" t="s">
        <v>1039</v>
      </c>
      <c r="D355" t="s">
        <v>1036</v>
      </c>
      <c r="E355">
        <v>0.57099999999999995</v>
      </c>
      <c r="F355">
        <v>42</v>
      </c>
      <c r="G355">
        <v>8</v>
      </c>
      <c r="H355">
        <v>0</v>
      </c>
      <c r="I355">
        <v>190</v>
      </c>
      <c r="J355" t="s">
        <v>697</v>
      </c>
      <c r="K355">
        <v>1620564</v>
      </c>
      <c r="L355">
        <v>2</v>
      </c>
    </row>
    <row r="356" spans="1:12" x14ac:dyDescent="0.2">
      <c r="A356" t="s">
        <v>692</v>
      </c>
      <c r="B356">
        <v>31</v>
      </c>
      <c r="C356" t="s">
        <v>1039</v>
      </c>
      <c r="D356" t="s">
        <v>1036</v>
      </c>
      <c r="E356">
        <v>0.5</v>
      </c>
      <c r="F356">
        <v>45</v>
      </c>
      <c r="G356">
        <v>15</v>
      </c>
      <c r="H356">
        <v>5</v>
      </c>
      <c r="I356">
        <v>133</v>
      </c>
      <c r="J356" t="s">
        <v>693</v>
      </c>
      <c r="K356">
        <v>1620564</v>
      </c>
      <c r="L356">
        <v>1.7391304347826086</v>
      </c>
    </row>
    <row r="357" spans="1:12" x14ac:dyDescent="0.2">
      <c r="A357" t="s">
        <v>712</v>
      </c>
      <c r="B357">
        <v>25</v>
      </c>
      <c r="C357" t="s">
        <v>1039</v>
      </c>
      <c r="D357" t="s">
        <v>1036</v>
      </c>
      <c r="E357">
        <v>0.58399999999999996</v>
      </c>
      <c r="F357">
        <v>224</v>
      </c>
      <c r="G357">
        <v>38</v>
      </c>
      <c r="H357">
        <v>12</v>
      </c>
      <c r="I357">
        <v>416</v>
      </c>
      <c r="J357" t="s">
        <v>713</v>
      </c>
      <c r="K357">
        <v>1620564</v>
      </c>
      <c r="L357">
        <v>1.7560975609756098</v>
      </c>
    </row>
    <row r="358" spans="1:12" x14ac:dyDescent="0.2">
      <c r="A358" t="s">
        <v>704</v>
      </c>
      <c r="B358">
        <v>30</v>
      </c>
      <c r="C358" t="s">
        <v>1039</v>
      </c>
      <c r="D358" t="s">
        <v>1036</v>
      </c>
      <c r="E358">
        <v>0.55400000000000005</v>
      </c>
      <c r="F358">
        <v>192</v>
      </c>
      <c r="G358">
        <v>41</v>
      </c>
      <c r="H358">
        <v>7</v>
      </c>
      <c r="I358">
        <v>715</v>
      </c>
      <c r="J358" t="s">
        <v>705</v>
      </c>
      <c r="K358">
        <v>1620564</v>
      </c>
      <c r="L358">
        <v>2.7702702702702702</v>
      </c>
    </row>
    <row r="359" spans="1:12" x14ac:dyDescent="0.2">
      <c r="A359" t="s">
        <v>750</v>
      </c>
      <c r="B359">
        <v>25</v>
      </c>
      <c r="C359" t="s">
        <v>1039</v>
      </c>
      <c r="D359" t="s">
        <v>1036</v>
      </c>
      <c r="E359">
        <v>0.54700000000000004</v>
      </c>
      <c r="F359">
        <v>96</v>
      </c>
      <c r="G359">
        <v>34</v>
      </c>
      <c r="H359">
        <v>13</v>
      </c>
      <c r="I359">
        <v>481</v>
      </c>
      <c r="J359" t="s">
        <v>751</v>
      </c>
      <c r="K359">
        <v>1588231</v>
      </c>
      <c r="L359">
        <v>4.4117647058823533</v>
      </c>
    </row>
    <row r="360" spans="1:12" x14ac:dyDescent="0.2">
      <c r="A360" t="s">
        <v>752</v>
      </c>
      <c r="B360">
        <v>23</v>
      </c>
      <c r="C360" t="s">
        <v>1039</v>
      </c>
      <c r="D360" t="s">
        <v>1036</v>
      </c>
      <c r="E360">
        <v>0.505</v>
      </c>
      <c r="F360">
        <v>84</v>
      </c>
      <c r="G360">
        <v>11</v>
      </c>
      <c r="H360">
        <v>8</v>
      </c>
      <c r="I360">
        <v>105</v>
      </c>
      <c r="J360" t="s">
        <v>753</v>
      </c>
      <c r="K360">
        <v>1517981</v>
      </c>
      <c r="L360">
        <v>1.75</v>
      </c>
    </row>
    <row r="361" spans="1:12" x14ac:dyDescent="0.2">
      <c r="A361" t="s">
        <v>788</v>
      </c>
      <c r="B361">
        <v>26</v>
      </c>
      <c r="C361" t="s">
        <v>1039</v>
      </c>
      <c r="D361" t="s">
        <v>1036</v>
      </c>
      <c r="E361">
        <v>0.60899999999999999</v>
      </c>
      <c r="F361">
        <v>60</v>
      </c>
      <c r="G361">
        <v>12</v>
      </c>
      <c r="H361">
        <v>12</v>
      </c>
      <c r="I361">
        <v>337</v>
      </c>
      <c r="J361" t="s">
        <v>789</v>
      </c>
      <c r="K361">
        <v>1517981</v>
      </c>
      <c r="L361">
        <v>1.625</v>
      </c>
    </row>
    <row r="362" spans="1:12" x14ac:dyDescent="0.2">
      <c r="A362" t="s">
        <v>806</v>
      </c>
      <c r="B362">
        <v>21</v>
      </c>
      <c r="C362" t="s">
        <v>1039</v>
      </c>
      <c r="D362" t="s">
        <v>1036</v>
      </c>
      <c r="E362">
        <v>0.499</v>
      </c>
      <c r="F362">
        <v>95</v>
      </c>
      <c r="G362">
        <v>22</v>
      </c>
      <c r="H362">
        <v>12</v>
      </c>
      <c r="I362">
        <v>379</v>
      </c>
      <c r="J362" t="s">
        <v>807</v>
      </c>
      <c r="K362">
        <v>1517981</v>
      </c>
      <c r="L362">
        <v>2.2142857142857144</v>
      </c>
    </row>
    <row r="363" spans="1:12" x14ac:dyDescent="0.2">
      <c r="A363" t="s">
        <v>762</v>
      </c>
      <c r="B363">
        <v>24</v>
      </c>
      <c r="C363" t="s">
        <v>1039</v>
      </c>
      <c r="D363" t="s">
        <v>1036</v>
      </c>
      <c r="E363">
        <v>0.56299999999999994</v>
      </c>
      <c r="F363">
        <v>242</v>
      </c>
      <c r="G363">
        <v>29</v>
      </c>
      <c r="H363">
        <v>13</v>
      </c>
      <c r="I363">
        <v>472</v>
      </c>
      <c r="J363" t="s">
        <v>763</v>
      </c>
      <c r="K363">
        <v>1517981</v>
      </c>
      <c r="L363">
        <v>2.6</v>
      </c>
    </row>
    <row r="364" spans="1:12" x14ac:dyDescent="0.2">
      <c r="A364" t="s">
        <v>760</v>
      </c>
      <c r="B364">
        <v>21</v>
      </c>
      <c r="C364" t="s">
        <v>1039</v>
      </c>
      <c r="D364" t="s">
        <v>1036</v>
      </c>
      <c r="E364">
        <v>0.47499999999999998</v>
      </c>
      <c r="F364">
        <v>189</v>
      </c>
      <c r="G364">
        <v>45</v>
      </c>
      <c r="H364">
        <v>19</v>
      </c>
      <c r="I364">
        <v>729</v>
      </c>
      <c r="J364" t="s">
        <v>761</v>
      </c>
      <c r="K364">
        <v>1517981</v>
      </c>
      <c r="L364">
        <v>1.1139240506329113</v>
      </c>
    </row>
    <row r="365" spans="1:12" x14ac:dyDescent="0.2">
      <c r="A365" t="s">
        <v>768</v>
      </c>
      <c r="B365">
        <v>20</v>
      </c>
      <c r="C365" t="s">
        <v>1039</v>
      </c>
      <c r="D365" t="s">
        <v>1036</v>
      </c>
      <c r="E365">
        <v>0.496</v>
      </c>
      <c r="F365">
        <v>169</v>
      </c>
      <c r="G365">
        <v>63</v>
      </c>
      <c r="H365">
        <v>21</v>
      </c>
      <c r="I365">
        <v>585</v>
      </c>
      <c r="J365" t="s">
        <v>769</v>
      </c>
      <c r="K365">
        <v>1517981</v>
      </c>
      <c r="L365">
        <v>1.7238095238095239</v>
      </c>
    </row>
    <row r="366" spans="1:12" x14ac:dyDescent="0.2">
      <c r="A366" t="s">
        <v>834</v>
      </c>
      <c r="B366">
        <v>20</v>
      </c>
      <c r="C366" t="s">
        <v>1039</v>
      </c>
      <c r="D366" t="s">
        <v>1036</v>
      </c>
      <c r="E366">
        <v>0.313</v>
      </c>
      <c r="F366">
        <v>6</v>
      </c>
      <c r="G366">
        <v>5</v>
      </c>
      <c r="H366">
        <v>0</v>
      </c>
      <c r="I366">
        <v>11</v>
      </c>
      <c r="J366" t="s">
        <v>835</v>
      </c>
      <c r="K366">
        <v>1289846</v>
      </c>
      <c r="L366">
        <v>3</v>
      </c>
    </row>
    <row r="367" spans="1:12" x14ac:dyDescent="0.2">
      <c r="A367" t="s">
        <v>842</v>
      </c>
      <c r="B367">
        <v>19</v>
      </c>
      <c r="C367" t="s">
        <v>1039</v>
      </c>
      <c r="D367" t="s">
        <v>1036</v>
      </c>
      <c r="E367">
        <v>0.46100000000000002</v>
      </c>
      <c r="F367">
        <v>10</v>
      </c>
      <c r="G367">
        <v>4</v>
      </c>
      <c r="H367">
        <v>1</v>
      </c>
      <c r="I367">
        <v>40</v>
      </c>
      <c r="J367" t="s">
        <v>843</v>
      </c>
      <c r="K367">
        <v>1000000</v>
      </c>
      <c r="L367">
        <v>2</v>
      </c>
    </row>
    <row r="368" spans="1:12" x14ac:dyDescent="0.2">
      <c r="A368" t="s">
        <v>868</v>
      </c>
      <c r="B368">
        <v>21</v>
      </c>
      <c r="C368" t="s">
        <v>1039</v>
      </c>
      <c r="D368" t="s">
        <v>1036</v>
      </c>
      <c r="E368">
        <v>0.49399999999999999</v>
      </c>
      <c r="F368">
        <v>21</v>
      </c>
      <c r="G368">
        <v>8</v>
      </c>
      <c r="H368">
        <v>0</v>
      </c>
      <c r="I368">
        <v>94</v>
      </c>
      <c r="J368" t="s">
        <v>869</v>
      </c>
      <c r="K368">
        <v>898310</v>
      </c>
      <c r="L368">
        <v>3</v>
      </c>
    </row>
    <row r="369" spans="1:12" x14ac:dyDescent="0.2">
      <c r="A369" t="s">
        <v>984</v>
      </c>
      <c r="B369">
        <v>22</v>
      </c>
      <c r="C369" t="s">
        <v>1039</v>
      </c>
      <c r="D369" t="s">
        <v>1036</v>
      </c>
      <c r="E369">
        <v>0.33300000000000002</v>
      </c>
      <c r="F369">
        <v>10</v>
      </c>
      <c r="G369">
        <v>0</v>
      </c>
      <c r="H369">
        <v>1</v>
      </c>
      <c r="I369">
        <v>9</v>
      </c>
      <c r="J369" t="s">
        <v>985</v>
      </c>
      <c r="K369">
        <v>449155</v>
      </c>
      <c r="L369">
        <v>2</v>
      </c>
    </row>
    <row r="370" spans="1:12" x14ac:dyDescent="0.2">
      <c r="A370" t="s">
        <v>978</v>
      </c>
      <c r="B370">
        <v>21</v>
      </c>
      <c r="C370" t="s">
        <v>1039</v>
      </c>
      <c r="D370" t="s">
        <v>1036</v>
      </c>
      <c r="E370">
        <v>0.40500000000000003</v>
      </c>
      <c r="F370">
        <v>9</v>
      </c>
      <c r="G370">
        <v>7</v>
      </c>
      <c r="H370">
        <v>2</v>
      </c>
      <c r="I370">
        <v>41</v>
      </c>
      <c r="J370" t="s">
        <v>979</v>
      </c>
      <c r="K370">
        <v>449155</v>
      </c>
      <c r="L370">
        <v>1.6</v>
      </c>
    </row>
    <row r="371" spans="1:12" x14ac:dyDescent="0.2">
      <c r="A371" t="s">
        <v>896</v>
      </c>
      <c r="B371">
        <v>20</v>
      </c>
      <c r="C371" t="s">
        <v>1039</v>
      </c>
      <c r="D371" t="s">
        <v>1036</v>
      </c>
      <c r="E371">
        <v>0.41699999999999998</v>
      </c>
      <c r="F371">
        <v>14</v>
      </c>
      <c r="G371">
        <v>4</v>
      </c>
      <c r="H371">
        <v>0</v>
      </c>
      <c r="I371">
        <v>35</v>
      </c>
      <c r="J371" t="s">
        <v>897</v>
      </c>
      <c r="K371">
        <v>449155</v>
      </c>
      <c r="L371">
        <v>0.14285714285714285</v>
      </c>
    </row>
    <row r="372" spans="1:12" x14ac:dyDescent="0.2">
      <c r="A372" t="s">
        <v>966</v>
      </c>
      <c r="B372">
        <v>24</v>
      </c>
      <c r="C372" t="s">
        <v>1039</v>
      </c>
      <c r="D372" t="s">
        <v>1036</v>
      </c>
      <c r="E372">
        <v>0.47099999999999997</v>
      </c>
      <c r="F372">
        <v>11</v>
      </c>
      <c r="G372">
        <v>8</v>
      </c>
      <c r="H372">
        <v>2</v>
      </c>
      <c r="I372">
        <v>46</v>
      </c>
      <c r="J372" t="s">
        <v>967</v>
      </c>
      <c r="K372">
        <v>449155</v>
      </c>
      <c r="L372">
        <v>0.8</v>
      </c>
    </row>
    <row r="373" spans="1:12" x14ac:dyDescent="0.2">
      <c r="A373" t="s">
        <v>940</v>
      </c>
      <c r="B373">
        <v>23</v>
      </c>
      <c r="C373" t="s">
        <v>1039</v>
      </c>
      <c r="D373" t="s">
        <v>1036</v>
      </c>
      <c r="E373">
        <v>0.40300000000000002</v>
      </c>
      <c r="F373">
        <v>35</v>
      </c>
      <c r="G373">
        <v>6</v>
      </c>
      <c r="H373">
        <v>0</v>
      </c>
      <c r="I373">
        <v>87</v>
      </c>
      <c r="J373" t="s">
        <v>941</v>
      </c>
      <c r="K373">
        <v>449155</v>
      </c>
      <c r="L373">
        <v>2.9090909090909092</v>
      </c>
    </row>
    <row r="374" spans="1:12" x14ac:dyDescent="0.2">
      <c r="A374" t="s">
        <v>982</v>
      </c>
      <c r="B374">
        <v>23</v>
      </c>
      <c r="C374" t="s">
        <v>1039</v>
      </c>
      <c r="D374" t="s">
        <v>1036</v>
      </c>
      <c r="E374">
        <v>0.54900000000000004</v>
      </c>
      <c r="F374">
        <v>44</v>
      </c>
      <c r="G374">
        <v>10</v>
      </c>
      <c r="H374">
        <v>0</v>
      </c>
      <c r="I374">
        <v>140</v>
      </c>
      <c r="J374" t="s">
        <v>983</v>
      </c>
      <c r="K374">
        <v>449155</v>
      </c>
      <c r="L374">
        <v>1.4666666666666666</v>
      </c>
    </row>
    <row r="375" spans="1:12" x14ac:dyDescent="0.2">
      <c r="A375" t="s">
        <v>946</v>
      </c>
      <c r="B375">
        <v>21</v>
      </c>
      <c r="C375" t="s">
        <v>1039</v>
      </c>
      <c r="D375" t="s">
        <v>1036</v>
      </c>
      <c r="E375">
        <v>0.46200000000000002</v>
      </c>
      <c r="F375">
        <v>21</v>
      </c>
      <c r="G375">
        <v>4</v>
      </c>
      <c r="H375">
        <v>1</v>
      </c>
      <c r="I375">
        <v>105</v>
      </c>
      <c r="J375" t="s">
        <v>947</v>
      </c>
      <c r="K375">
        <v>449155</v>
      </c>
      <c r="L375">
        <v>1</v>
      </c>
    </row>
    <row r="376" spans="1:12" x14ac:dyDescent="0.2">
      <c r="A376" t="s">
        <v>938</v>
      </c>
      <c r="B376">
        <v>22</v>
      </c>
      <c r="C376" t="s">
        <v>1039</v>
      </c>
      <c r="D376" t="s">
        <v>1036</v>
      </c>
      <c r="E376">
        <v>0.48599999999999999</v>
      </c>
      <c r="F376">
        <v>44</v>
      </c>
      <c r="G376">
        <v>9</v>
      </c>
      <c r="H376">
        <v>4</v>
      </c>
      <c r="I376">
        <v>88</v>
      </c>
      <c r="J376" t="s">
        <v>939</v>
      </c>
      <c r="K376">
        <v>449155</v>
      </c>
      <c r="L376">
        <v>2.1428571428571428</v>
      </c>
    </row>
    <row r="377" spans="1:12" x14ac:dyDescent="0.2">
      <c r="A377" t="s">
        <v>890</v>
      </c>
      <c r="B377">
        <v>22</v>
      </c>
      <c r="C377" t="s">
        <v>1039</v>
      </c>
      <c r="D377" t="s">
        <v>1036</v>
      </c>
      <c r="E377">
        <v>0.56299999999999994</v>
      </c>
      <c r="F377">
        <v>68</v>
      </c>
      <c r="G377">
        <v>12</v>
      </c>
      <c r="H377">
        <v>5</v>
      </c>
      <c r="I377">
        <v>223</v>
      </c>
      <c r="J377" t="s">
        <v>891</v>
      </c>
      <c r="K377">
        <v>449155</v>
      </c>
      <c r="L377">
        <v>1.3636363636363635</v>
      </c>
    </row>
    <row r="378" spans="1:12" x14ac:dyDescent="0.2">
      <c r="A378" t="s">
        <v>952</v>
      </c>
      <c r="B378">
        <v>19</v>
      </c>
      <c r="C378" t="s">
        <v>1039</v>
      </c>
      <c r="D378" t="s">
        <v>1036</v>
      </c>
      <c r="E378">
        <v>0.439</v>
      </c>
      <c r="F378">
        <v>46</v>
      </c>
      <c r="G378">
        <v>16</v>
      </c>
      <c r="H378">
        <v>1</v>
      </c>
      <c r="I378">
        <v>123</v>
      </c>
      <c r="J378" t="s">
        <v>953</v>
      </c>
      <c r="K378">
        <v>449155</v>
      </c>
      <c r="L378">
        <v>2.2580645161290325</v>
      </c>
    </row>
    <row r="379" spans="1:12" x14ac:dyDescent="0.2">
      <c r="A379" t="s">
        <v>904</v>
      </c>
      <c r="B379">
        <v>24</v>
      </c>
      <c r="C379" t="s">
        <v>1039</v>
      </c>
      <c r="D379" t="s">
        <v>1036</v>
      </c>
      <c r="E379">
        <v>0.48099999999999998</v>
      </c>
      <c r="F379">
        <v>108</v>
      </c>
      <c r="G379">
        <v>51</v>
      </c>
      <c r="H379">
        <v>6</v>
      </c>
      <c r="I379">
        <v>256</v>
      </c>
      <c r="J379" t="s">
        <v>905</v>
      </c>
      <c r="K379">
        <v>449155</v>
      </c>
      <c r="L379">
        <v>3.784313725490196</v>
      </c>
    </row>
    <row r="380" spans="1:12" x14ac:dyDescent="0.2">
      <c r="A380" t="s">
        <v>996</v>
      </c>
      <c r="B380">
        <v>27</v>
      </c>
      <c r="C380" t="s">
        <v>1039</v>
      </c>
      <c r="D380" t="s">
        <v>1036</v>
      </c>
      <c r="E380">
        <v>0.66700000000000004</v>
      </c>
      <c r="F380">
        <v>235</v>
      </c>
      <c r="G380">
        <v>41</v>
      </c>
      <c r="H380">
        <v>26</v>
      </c>
      <c r="I380">
        <v>301</v>
      </c>
      <c r="J380" t="s">
        <v>997</v>
      </c>
      <c r="K380">
        <v>358295</v>
      </c>
      <c r="L380">
        <v>2.459016393442623</v>
      </c>
    </row>
    <row r="381" spans="1:12" x14ac:dyDescent="0.2">
      <c r="A381" t="s">
        <v>1002</v>
      </c>
      <c r="B381">
        <v>30</v>
      </c>
      <c r="C381" t="s">
        <v>1039</v>
      </c>
      <c r="D381" t="s">
        <v>1036</v>
      </c>
      <c r="E381">
        <v>0.15</v>
      </c>
      <c r="F381">
        <v>8</v>
      </c>
      <c r="G381">
        <v>2</v>
      </c>
      <c r="H381">
        <v>1</v>
      </c>
      <c r="I381">
        <v>8</v>
      </c>
      <c r="J381" t="s">
        <v>1003</v>
      </c>
      <c r="K381">
        <v>255294</v>
      </c>
      <c r="L381">
        <v>4</v>
      </c>
    </row>
    <row r="382" spans="1:12" x14ac:dyDescent="0.2">
      <c r="A382" t="s">
        <v>1004</v>
      </c>
      <c r="B382">
        <v>24</v>
      </c>
      <c r="C382" t="s">
        <v>1039</v>
      </c>
      <c r="D382" t="s">
        <v>1036</v>
      </c>
      <c r="E382">
        <v>0.55300000000000005</v>
      </c>
      <c r="F382">
        <v>18</v>
      </c>
      <c r="G382">
        <v>9</v>
      </c>
      <c r="H382">
        <v>6</v>
      </c>
      <c r="I382">
        <v>82</v>
      </c>
      <c r="J382" t="s">
        <v>1005</v>
      </c>
      <c r="K382">
        <v>250000</v>
      </c>
      <c r="L382">
        <v>4.166666666666667</v>
      </c>
    </row>
    <row r="383" spans="1:12" x14ac:dyDescent="0.2">
      <c r="A383" t="s">
        <v>1032</v>
      </c>
      <c r="B383">
        <v>23</v>
      </c>
      <c r="C383" t="s">
        <v>1039</v>
      </c>
      <c r="D383" t="s">
        <v>1036</v>
      </c>
      <c r="E383">
        <v>0.36</v>
      </c>
      <c r="F383">
        <v>17</v>
      </c>
      <c r="G383">
        <v>4</v>
      </c>
      <c r="H383">
        <v>2</v>
      </c>
      <c r="I383">
        <v>40</v>
      </c>
      <c r="J383" t="s">
        <v>1033</v>
      </c>
      <c r="K383">
        <v>19804</v>
      </c>
      <c r="L383">
        <v>1.5</v>
      </c>
    </row>
    <row r="384" spans="1:12" x14ac:dyDescent="0.2">
      <c r="A384" t="s">
        <v>1034</v>
      </c>
      <c r="B384">
        <v>28</v>
      </c>
      <c r="C384" t="s">
        <v>1039</v>
      </c>
      <c r="D384" t="s">
        <v>1036</v>
      </c>
      <c r="E384">
        <v>0.84599999999999997</v>
      </c>
      <c r="F384">
        <v>11</v>
      </c>
      <c r="G384">
        <v>6</v>
      </c>
      <c r="H384">
        <v>1</v>
      </c>
      <c r="I384">
        <v>25</v>
      </c>
      <c r="J384" t="s">
        <v>1035</v>
      </c>
      <c r="K384">
        <v>11898</v>
      </c>
      <c r="L384">
        <v>1</v>
      </c>
    </row>
    <row r="385" spans="1:12" x14ac:dyDescent="0.2">
      <c r="A385" t="s">
        <v>18</v>
      </c>
      <c r="B385">
        <v>31</v>
      </c>
      <c r="C385" t="s">
        <v>1041</v>
      </c>
      <c r="D385" t="s">
        <v>1036</v>
      </c>
      <c r="E385">
        <v>0.54800000000000004</v>
      </c>
      <c r="F385">
        <v>348</v>
      </c>
      <c r="G385">
        <v>53</v>
      </c>
      <c r="H385">
        <v>33</v>
      </c>
      <c r="I385">
        <v>1083</v>
      </c>
      <c r="J385" t="s">
        <v>19</v>
      </c>
      <c r="K385">
        <v>41254920</v>
      </c>
      <c r="L385">
        <v>2.6836158192090394</v>
      </c>
    </row>
    <row r="386" spans="1:12" x14ac:dyDescent="0.2">
      <c r="A386" t="s">
        <v>104</v>
      </c>
      <c r="B386">
        <v>28</v>
      </c>
      <c r="C386" t="s">
        <v>1041</v>
      </c>
      <c r="D386" t="s">
        <v>1036</v>
      </c>
      <c r="E386">
        <v>0.47599999999999998</v>
      </c>
      <c r="F386">
        <v>160</v>
      </c>
      <c r="G386">
        <v>46</v>
      </c>
      <c r="H386">
        <v>14</v>
      </c>
      <c r="I386">
        <v>652</v>
      </c>
      <c r="J386" t="s">
        <v>105</v>
      </c>
      <c r="K386">
        <v>21000000</v>
      </c>
      <c r="L386">
        <v>1.8192771084337349</v>
      </c>
    </row>
    <row r="387" spans="1:12" x14ac:dyDescent="0.2">
      <c r="A387" t="s">
        <v>110</v>
      </c>
      <c r="B387">
        <v>26</v>
      </c>
      <c r="C387" t="s">
        <v>1041</v>
      </c>
      <c r="D387" t="s">
        <v>1036</v>
      </c>
      <c r="E387">
        <v>0.47</v>
      </c>
      <c r="F387">
        <v>79</v>
      </c>
      <c r="G387">
        <v>28</v>
      </c>
      <c r="H387">
        <v>11</v>
      </c>
      <c r="I387">
        <v>388</v>
      </c>
      <c r="J387" t="s">
        <v>111</v>
      </c>
      <c r="K387">
        <v>19610714</v>
      </c>
      <c r="L387">
        <v>2.1081081081081079</v>
      </c>
    </row>
    <row r="388" spans="1:12" x14ac:dyDescent="0.2">
      <c r="A388" t="s">
        <v>142</v>
      </c>
      <c r="B388">
        <v>26</v>
      </c>
      <c r="C388" t="s">
        <v>1041</v>
      </c>
      <c r="D388" t="s">
        <v>1036</v>
      </c>
      <c r="E388">
        <v>0.49299999999999999</v>
      </c>
      <c r="F388">
        <v>214</v>
      </c>
      <c r="G388">
        <v>66</v>
      </c>
      <c r="H388">
        <v>30</v>
      </c>
      <c r="I388">
        <v>948</v>
      </c>
      <c r="J388" t="s">
        <v>143</v>
      </c>
      <c r="K388">
        <v>16203704</v>
      </c>
      <c r="L388">
        <v>2.4019607843137254</v>
      </c>
    </row>
    <row r="389" spans="1:12" x14ac:dyDescent="0.2">
      <c r="A389" t="s">
        <v>186</v>
      </c>
      <c r="B389">
        <v>36</v>
      </c>
      <c r="C389" t="s">
        <v>1041</v>
      </c>
      <c r="D389" t="s">
        <v>1036</v>
      </c>
      <c r="E389">
        <v>0.52100000000000002</v>
      </c>
      <c r="F389">
        <v>64</v>
      </c>
      <c r="G389">
        <v>11</v>
      </c>
      <c r="H389">
        <v>3</v>
      </c>
      <c r="I389">
        <v>327</v>
      </c>
      <c r="J389" t="s">
        <v>187</v>
      </c>
      <c r="K389">
        <v>13013700</v>
      </c>
      <c r="L389">
        <v>1.4166666666666667</v>
      </c>
    </row>
    <row r="390" spans="1:12" x14ac:dyDescent="0.2">
      <c r="A390" t="s">
        <v>196</v>
      </c>
      <c r="B390">
        <v>29</v>
      </c>
      <c r="C390" t="s">
        <v>1041</v>
      </c>
      <c r="D390" t="s">
        <v>1036</v>
      </c>
      <c r="E390">
        <v>0.52200000000000002</v>
      </c>
      <c r="F390">
        <v>159</v>
      </c>
      <c r="G390">
        <v>61</v>
      </c>
      <c r="H390">
        <v>18</v>
      </c>
      <c r="I390">
        <v>517</v>
      </c>
      <c r="J390" t="s">
        <v>197</v>
      </c>
      <c r="K390">
        <v>12600000</v>
      </c>
      <c r="L390">
        <v>2.6962025316455698</v>
      </c>
    </row>
    <row r="391" spans="1:12" x14ac:dyDescent="0.2">
      <c r="A391" t="s">
        <v>226</v>
      </c>
      <c r="B391">
        <v>27</v>
      </c>
      <c r="C391" t="s">
        <v>1041</v>
      </c>
      <c r="D391" t="s">
        <v>1036</v>
      </c>
      <c r="E391">
        <v>0.56999999999999995</v>
      </c>
      <c r="F391">
        <v>215</v>
      </c>
      <c r="G391">
        <v>82</v>
      </c>
      <c r="H391">
        <v>18</v>
      </c>
      <c r="I391">
        <v>1283</v>
      </c>
      <c r="J391" t="s">
        <v>227</v>
      </c>
      <c r="K391">
        <v>10865952</v>
      </c>
      <c r="L391">
        <v>1.0840336134453781</v>
      </c>
    </row>
    <row r="392" spans="1:12" x14ac:dyDescent="0.2">
      <c r="A392" t="s">
        <v>248</v>
      </c>
      <c r="B392">
        <v>34</v>
      </c>
      <c r="C392" t="s">
        <v>1041</v>
      </c>
      <c r="D392" t="s">
        <v>1036</v>
      </c>
      <c r="E392">
        <v>0.56100000000000005</v>
      </c>
      <c r="F392">
        <v>61</v>
      </c>
      <c r="G392">
        <v>23</v>
      </c>
      <c r="H392">
        <v>5</v>
      </c>
      <c r="I392">
        <v>261</v>
      </c>
      <c r="J392" t="s">
        <v>249</v>
      </c>
      <c r="K392">
        <v>9590602</v>
      </c>
      <c r="L392">
        <v>2.3548387096774195</v>
      </c>
    </row>
    <row r="393" spans="1:12" x14ac:dyDescent="0.2">
      <c r="A393" t="s">
        <v>274</v>
      </c>
      <c r="B393">
        <v>28</v>
      </c>
      <c r="C393" t="s">
        <v>1041</v>
      </c>
      <c r="D393" t="s">
        <v>1036</v>
      </c>
      <c r="E393">
        <v>0.52500000000000002</v>
      </c>
      <c r="F393">
        <v>269</v>
      </c>
      <c r="G393">
        <v>101</v>
      </c>
      <c r="H393">
        <v>30</v>
      </c>
      <c r="I393">
        <v>645</v>
      </c>
      <c r="J393" t="s">
        <v>275</v>
      </c>
      <c r="K393">
        <v>9000000</v>
      </c>
      <c r="L393">
        <v>3.3493975903614457</v>
      </c>
    </row>
    <row r="394" spans="1:12" x14ac:dyDescent="0.2">
      <c r="A394" t="s">
        <v>298</v>
      </c>
      <c r="B394">
        <v>34</v>
      </c>
      <c r="C394" t="s">
        <v>1041</v>
      </c>
      <c r="D394" t="s">
        <v>1036</v>
      </c>
      <c r="E394">
        <v>0.46400000000000002</v>
      </c>
      <c r="F394">
        <v>138</v>
      </c>
      <c r="G394">
        <v>47</v>
      </c>
      <c r="H394">
        <v>6</v>
      </c>
      <c r="I394">
        <v>749</v>
      </c>
      <c r="J394" t="s">
        <v>299</v>
      </c>
      <c r="K394">
        <v>8000000</v>
      </c>
      <c r="L394">
        <v>2.0833333333333335</v>
      </c>
    </row>
    <row r="395" spans="1:12" x14ac:dyDescent="0.2">
      <c r="A395" t="s">
        <v>308</v>
      </c>
      <c r="B395">
        <v>32</v>
      </c>
      <c r="C395" t="s">
        <v>1041</v>
      </c>
      <c r="D395" t="s">
        <v>1036</v>
      </c>
      <c r="E395">
        <v>0.51100000000000001</v>
      </c>
      <c r="F395">
        <v>130</v>
      </c>
      <c r="G395">
        <v>49</v>
      </c>
      <c r="H395">
        <v>19</v>
      </c>
      <c r="I395">
        <v>734</v>
      </c>
      <c r="J395" t="s">
        <v>309</v>
      </c>
      <c r="K395">
        <v>7682927</v>
      </c>
      <c r="L395">
        <v>2.6794871794871793</v>
      </c>
    </row>
    <row r="396" spans="1:12" x14ac:dyDescent="0.2">
      <c r="A396" t="s">
        <v>312</v>
      </c>
      <c r="B396">
        <v>34</v>
      </c>
      <c r="C396" t="s">
        <v>1041</v>
      </c>
      <c r="D396" t="s">
        <v>1036</v>
      </c>
      <c r="E396">
        <v>0.52600000000000002</v>
      </c>
      <c r="F396">
        <v>110</v>
      </c>
      <c r="G396">
        <v>37</v>
      </c>
      <c r="H396">
        <v>4</v>
      </c>
      <c r="I396">
        <v>242</v>
      </c>
      <c r="J396" t="s">
        <v>313</v>
      </c>
      <c r="K396">
        <v>7500000</v>
      </c>
      <c r="L396">
        <v>2.518987341772152</v>
      </c>
    </row>
    <row r="397" spans="1:12" x14ac:dyDescent="0.2">
      <c r="A397" t="s">
        <v>338</v>
      </c>
      <c r="B397">
        <v>33</v>
      </c>
      <c r="C397" t="s">
        <v>1041</v>
      </c>
      <c r="D397" t="s">
        <v>1036</v>
      </c>
      <c r="E397">
        <v>0.51500000000000001</v>
      </c>
      <c r="F397">
        <v>94</v>
      </c>
      <c r="G397">
        <v>28</v>
      </c>
      <c r="H397">
        <v>1</v>
      </c>
      <c r="I397">
        <v>438</v>
      </c>
      <c r="J397" t="s">
        <v>339</v>
      </c>
      <c r="K397">
        <v>6666667</v>
      </c>
      <c r="L397">
        <v>2.8923076923076922</v>
      </c>
    </row>
    <row r="398" spans="1:12" x14ac:dyDescent="0.2">
      <c r="A398" t="s">
        <v>360</v>
      </c>
      <c r="B398">
        <v>23</v>
      </c>
      <c r="C398" t="s">
        <v>1041</v>
      </c>
      <c r="D398" t="s">
        <v>1036</v>
      </c>
      <c r="E398">
        <v>0.46600000000000003</v>
      </c>
      <c r="F398">
        <v>55</v>
      </c>
      <c r="G398">
        <v>23</v>
      </c>
      <c r="H398">
        <v>14</v>
      </c>
      <c r="I398">
        <v>154</v>
      </c>
      <c r="J398" t="s">
        <v>361</v>
      </c>
      <c r="K398">
        <v>5686677</v>
      </c>
      <c r="L398">
        <v>2.9615384615384617</v>
      </c>
    </row>
    <row r="399" spans="1:12" x14ac:dyDescent="0.2">
      <c r="A399" t="s">
        <v>362</v>
      </c>
      <c r="B399">
        <v>30</v>
      </c>
      <c r="C399" t="s">
        <v>1041</v>
      </c>
      <c r="D399" t="s">
        <v>1036</v>
      </c>
      <c r="E399">
        <v>0.47099999999999997</v>
      </c>
      <c r="F399">
        <v>57</v>
      </c>
      <c r="G399">
        <v>21</v>
      </c>
      <c r="H399">
        <v>3</v>
      </c>
      <c r="I399">
        <v>173</v>
      </c>
      <c r="J399" t="s">
        <v>363</v>
      </c>
      <c r="K399">
        <v>5635000</v>
      </c>
      <c r="L399">
        <v>1.6428571428571428</v>
      </c>
    </row>
    <row r="400" spans="1:12" x14ac:dyDescent="0.2">
      <c r="A400" t="s">
        <v>576</v>
      </c>
      <c r="B400">
        <v>27</v>
      </c>
      <c r="C400" t="s">
        <v>1041</v>
      </c>
      <c r="D400" t="s">
        <v>1036</v>
      </c>
      <c r="E400">
        <v>0.503</v>
      </c>
      <c r="F400">
        <v>100</v>
      </c>
      <c r="G400">
        <v>23</v>
      </c>
      <c r="H400">
        <v>9</v>
      </c>
      <c r="I400">
        <v>406</v>
      </c>
      <c r="J400" t="s">
        <v>577</v>
      </c>
      <c r="K400">
        <v>2283034</v>
      </c>
      <c r="L400">
        <v>0.9285714285714286</v>
      </c>
    </row>
    <row r="401" spans="1:12" x14ac:dyDescent="0.2">
      <c r="A401" t="s">
        <v>582</v>
      </c>
      <c r="B401">
        <v>31</v>
      </c>
      <c r="C401" t="s">
        <v>1041</v>
      </c>
      <c r="D401" t="s">
        <v>1036</v>
      </c>
      <c r="E401">
        <v>0.41099999999999998</v>
      </c>
      <c r="F401">
        <v>105</v>
      </c>
      <c r="G401">
        <v>43</v>
      </c>
      <c r="H401">
        <v>11</v>
      </c>
      <c r="I401">
        <v>336</v>
      </c>
      <c r="J401" t="s">
        <v>583</v>
      </c>
      <c r="K401">
        <v>2250000</v>
      </c>
      <c r="L401">
        <v>2.4507042253521125</v>
      </c>
    </row>
    <row r="402" spans="1:12" x14ac:dyDescent="0.2">
      <c r="A402" t="s">
        <v>590</v>
      </c>
      <c r="B402">
        <v>19</v>
      </c>
      <c r="C402" t="s">
        <v>1041</v>
      </c>
      <c r="D402" t="s">
        <v>1036</v>
      </c>
      <c r="E402">
        <v>0.47799999999999998</v>
      </c>
      <c r="F402">
        <v>179</v>
      </c>
      <c r="G402">
        <v>21</v>
      </c>
      <c r="H402">
        <v>10</v>
      </c>
      <c r="I402">
        <v>354</v>
      </c>
      <c r="J402" t="s">
        <v>591</v>
      </c>
      <c r="K402">
        <v>2193040</v>
      </c>
      <c r="L402">
        <v>1.6415094339622642</v>
      </c>
    </row>
    <row r="403" spans="1:12" x14ac:dyDescent="0.2">
      <c r="A403" t="s">
        <v>668</v>
      </c>
      <c r="B403">
        <v>22</v>
      </c>
      <c r="C403" t="s">
        <v>1041</v>
      </c>
      <c r="D403" t="s">
        <v>1036</v>
      </c>
      <c r="E403">
        <v>0.51300000000000001</v>
      </c>
      <c r="F403">
        <v>152</v>
      </c>
      <c r="G403">
        <v>56</v>
      </c>
      <c r="H403">
        <v>10</v>
      </c>
      <c r="I403">
        <v>888</v>
      </c>
      <c r="J403" t="s">
        <v>669</v>
      </c>
      <c r="K403">
        <v>1663861</v>
      </c>
      <c r="L403">
        <v>1.8604651162790697</v>
      </c>
    </row>
    <row r="404" spans="1:12" x14ac:dyDescent="0.2">
      <c r="A404" t="s">
        <v>690</v>
      </c>
      <c r="B404">
        <v>27</v>
      </c>
      <c r="C404" t="s">
        <v>1041</v>
      </c>
      <c r="D404" t="s">
        <v>1036</v>
      </c>
      <c r="E404">
        <v>0.50700000000000001</v>
      </c>
      <c r="F404">
        <v>17</v>
      </c>
      <c r="G404">
        <v>4</v>
      </c>
      <c r="H404">
        <v>1</v>
      </c>
      <c r="I404">
        <v>76</v>
      </c>
      <c r="J404" t="s">
        <v>691</v>
      </c>
      <c r="K404">
        <v>1620564</v>
      </c>
      <c r="L404">
        <v>2.5714285714285716</v>
      </c>
    </row>
    <row r="405" spans="1:12" x14ac:dyDescent="0.2">
      <c r="A405" t="s">
        <v>686</v>
      </c>
      <c r="B405">
        <v>27</v>
      </c>
      <c r="C405" t="s">
        <v>1041</v>
      </c>
      <c r="D405" t="s">
        <v>1036</v>
      </c>
      <c r="E405">
        <v>0.35299999999999998</v>
      </c>
      <c r="F405">
        <v>48</v>
      </c>
      <c r="G405">
        <v>17</v>
      </c>
      <c r="H405">
        <v>5</v>
      </c>
      <c r="I405">
        <v>73</v>
      </c>
      <c r="J405" t="s">
        <v>687</v>
      </c>
      <c r="K405">
        <v>1620564</v>
      </c>
      <c r="L405">
        <v>2.2727272727272729</v>
      </c>
    </row>
    <row r="406" spans="1:12" x14ac:dyDescent="0.2">
      <c r="A406" t="s">
        <v>800</v>
      </c>
      <c r="B406">
        <v>26</v>
      </c>
      <c r="C406" t="s">
        <v>1041</v>
      </c>
      <c r="D406" t="s">
        <v>1036</v>
      </c>
      <c r="E406">
        <v>0.5</v>
      </c>
      <c r="F406">
        <v>44</v>
      </c>
      <c r="G406">
        <v>4</v>
      </c>
      <c r="H406">
        <v>0</v>
      </c>
      <c r="I406">
        <v>139</v>
      </c>
      <c r="J406" t="s">
        <v>801</v>
      </c>
      <c r="K406">
        <v>1517981</v>
      </c>
      <c r="L406">
        <v>1.3571428571428572</v>
      </c>
    </row>
    <row r="407" spans="1:12" x14ac:dyDescent="0.2">
      <c r="A407" t="s">
        <v>770</v>
      </c>
      <c r="B407">
        <v>23</v>
      </c>
      <c r="C407" t="s">
        <v>1041</v>
      </c>
      <c r="D407" t="s">
        <v>1036</v>
      </c>
      <c r="E407">
        <v>0.53500000000000003</v>
      </c>
      <c r="F407">
        <v>154</v>
      </c>
      <c r="G407">
        <v>44</v>
      </c>
      <c r="H407">
        <v>14</v>
      </c>
      <c r="I407">
        <v>533</v>
      </c>
      <c r="J407" t="s">
        <v>771</v>
      </c>
      <c r="K407">
        <v>1517981</v>
      </c>
      <c r="L407">
        <v>1.3174603174603174</v>
      </c>
    </row>
    <row r="408" spans="1:12" x14ac:dyDescent="0.2">
      <c r="A408" t="s">
        <v>814</v>
      </c>
      <c r="B408">
        <v>23</v>
      </c>
      <c r="C408" t="s">
        <v>1041</v>
      </c>
      <c r="D408" t="s">
        <v>1036</v>
      </c>
      <c r="E408">
        <v>0.5</v>
      </c>
      <c r="F408">
        <v>71</v>
      </c>
      <c r="G408">
        <v>15</v>
      </c>
      <c r="H408">
        <v>10</v>
      </c>
      <c r="I408">
        <v>127</v>
      </c>
      <c r="J408" t="s">
        <v>815</v>
      </c>
      <c r="K408">
        <v>1445697</v>
      </c>
      <c r="L408">
        <v>1.5714285714285714</v>
      </c>
    </row>
    <row r="409" spans="1:12" x14ac:dyDescent="0.2">
      <c r="A409" t="s">
        <v>886</v>
      </c>
      <c r="B409">
        <v>32</v>
      </c>
      <c r="C409" t="s">
        <v>1041</v>
      </c>
      <c r="D409" t="s">
        <v>1036</v>
      </c>
      <c r="E409">
        <v>0.496</v>
      </c>
      <c r="F409">
        <v>88</v>
      </c>
      <c r="G409">
        <v>34</v>
      </c>
      <c r="H409">
        <v>12</v>
      </c>
      <c r="I409">
        <v>371</v>
      </c>
      <c r="J409" t="s">
        <v>887</v>
      </c>
      <c r="K409">
        <v>510589</v>
      </c>
      <c r="L409">
        <v>2.0625</v>
      </c>
    </row>
    <row r="410" spans="1:12" x14ac:dyDescent="0.2">
      <c r="A410" t="s">
        <v>970</v>
      </c>
      <c r="B410">
        <v>26</v>
      </c>
      <c r="C410" t="s">
        <v>1041</v>
      </c>
      <c r="D410" t="s">
        <v>1036</v>
      </c>
      <c r="E410">
        <v>0.40200000000000002</v>
      </c>
      <c r="F410">
        <v>18</v>
      </c>
      <c r="G410">
        <v>13</v>
      </c>
      <c r="H410">
        <v>2</v>
      </c>
      <c r="I410">
        <v>41</v>
      </c>
      <c r="J410" t="s">
        <v>971</v>
      </c>
      <c r="K410">
        <v>449155</v>
      </c>
      <c r="L410">
        <v>3</v>
      </c>
    </row>
    <row r="411" spans="1:12" x14ac:dyDescent="0.2">
      <c r="A411" t="s">
        <v>934</v>
      </c>
      <c r="B411">
        <v>24</v>
      </c>
      <c r="C411" t="s">
        <v>1041</v>
      </c>
      <c r="D411" t="s">
        <v>1036</v>
      </c>
      <c r="E411">
        <v>0.435</v>
      </c>
      <c r="F411">
        <v>53</v>
      </c>
      <c r="G411">
        <v>15</v>
      </c>
      <c r="H411">
        <v>10</v>
      </c>
      <c r="I411">
        <v>125</v>
      </c>
      <c r="J411" t="s">
        <v>935</v>
      </c>
      <c r="K411">
        <v>449155</v>
      </c>
      <c r="L411">
        <v>1.3636363636363635</v>
      </c>
    </row>
    <row r="412" spans="1:12" x14ac:dyDescent="0.2">
      <c r="A412" t="s">
        <v>1012</v>
      </c>
      <c r="B412">
        <v>27</v>
      </c>
      <c r="C412" t="s">
        <v>1041</v>
      </c>
      <c r="D412" t="s">
        <v>1036</v>
      </c>
      <c r="E412">
        <v>0.43</v>
      </c>
      <c r="F412">
        <v>19</v>
      </c>
      <c r="G412">
        <v>7</v>
      </c>
      <c r="H412">
        <v>3</v>
      </c>
      <c r="I412">
        <v>56</v>
      </c>
      <c r="J412" t="s">
        <v>1013</v>
      </c>
      <c r="K412">
        <v>214169</v>
      </c>
      <c r="L412">
        <v>7.333333333333333</v>
      </c>
    </row>
    <row r="413" spans="1:12" x14ac:dyDescent="0.2">
      <c r="A413" t="s">
        <v>1014</v>
      </c>
      <c r="B413">
        <v>28</v>
      </c>
      <c r="C413" t="s">
        <v>1041</v>
      </c>
      <c r="D413" t="s">
        <v>1036</v>
      </c>
      <c r="E413">
        <v>0.53700000000000003</v>
      </c>
      <c r="F413">
        <v>82</v>
      </c>
      <c r="G413">
        <v>30</v>
      </c>
      <c r="H413">
        <v>2</v>
      </c>
      <c r="I413">
        <v>285</v>
      </c>
      <c r="J413" t="s">
        <v>1015</v>
      </c>
      <c r="K413">
        <v>188696</v>
      </c>
      <c r="L413">
        <v>2.25</v>
      </c>
    </row>
    <row r="414" spans="1:12" x14ac:dyDescent="0.2">
      <c r="A414" t="s">
        <v>14</v>
      </c>
      <c r="B414">
        <v>32</v>
      </c>
      <c r="C414" t="s">
        <v>1040</v>
      </c>
      <c r="D414" t="s">
        <v>1036</v>
      </c>
      <c r="E414">
        <v>0.47399999999999998</v>
      </c>
      <c r="F414">
        <v>750</v>
      </c>
      <c r="G414">
        <v>89</v>
      </c>
      <c r="H414">
        <v>23</v>
      </c>
      <c r="I414">
        <v>1445</v>
      </c>
      <c r="J414" t="s">
        <v>15</v>
      </c>
      <c r="K414">
        <v>41358814</v>
      </c>
      <c r="L414">
        <v>2.4455128205128207</v>
      </c>
    </row>
    <row r="415" spans="1:12" x14ac:dyDescent="0.2">
      <c r="A415" t="s">
        <v>28</v>
      </c>
      <c r="B415">
        <v>30</v>
      </c>
      <c r="C415" t="s">
        <v>1040</v>
      </c>
      <c r="D415" t="s">
        <v>1036</v>
      </c>
      <c r="E415">
        <v>0.51400000000000001</v>
      </c>
      <c r="F415">
        <v>170</v>
      </c>
      <c r="G415">
        <v>48</v>
      </c>
      <c r="H415">
        <v>12</v>
      </c>
      <c r="I415">
        <v>829</v>
      </c>
      <c r="J415" t="s">
        <v>29</v>
      </c>
      <c r="K415">
        <v>34379100</v>
      </c>
      <c r="L415">
        <v>2.4090909090909092</v>
      </c>
    </row>
    <row r="416" spans="1:12" x14ac:dyDescent="0.2">
      <c r="A416" t="s">
        <v>40</v>
      </c>
      <c r="B416">
        <v>28</v>
      </c>
      <c r="C416" t="s">
        <v>1040</v>
      </c>
      <c r="D416" t="s">
        <v>1036</v>
      </c>
      <c r="E416">
        <v>0.57599999999999996</v>
      </c>
      <c r="F416">
        <v>257</v>
      </c>
      <c r="G416">
        <v>76</v>
      </c>
      <c r="H416">
        <v>37</v>
      </c>
      <c r="I416">
        <v>1451</v>
      </c>
      <c r="J416" t="s">
        <v>41</v>
      </c>
      <c r="K416">
        <v>31742000</v>
      </c>
      <c r="L416">
        <v>2.4923076923076923</v>
      </c>
    </row>
    <row r="417" spans="1:12" x14ac:dyDescent="0.2">
      <c r="A417" t="s">
        <v>46</v>
      </c>
      <c r="B417">
        <v>24</v>
      </c>
      <c r="C417" t="s">
        <v>1040</v>
      </c>
      <c r="D417" t="s">
        <v>1036</v>
      </c>
      <c r="E417">
        <v>0.56000000000000005</v>
      </c>
      <c r="F417">
        <v>417</v>
      </c>
      <c r="G417">
        <v>93</v>
      </c>
      <c r="H417">
        <v>35</v>
      </c>
      <c r="I417">
        <v>829</v>
      </c>
      <c r="J417" t="s">
        <v>47</v>
      </c>
      <c r="K417">
        <v>30559200</v>
      </c>
      <c r="L417">
        <v>2.3179190751445087</v>
      </c>
    </row>
    <row r="418" spans="1:12" x14ac:dyDescent="0.2">
      <c r="A418" t="s">
        <v>50</v>
      </c>
      <c r="B418">
        <v>34</v>
      </c>
      <c r="C418" t="s">
        <v>1040</v>
      </c>
      <c r="D418" t="s">
        <v>1036</v>
      </c>
      <c r="E418">
        <v>0.54600000000000004</v>
      </c>
      <c r="F418">
        <v>247</v>
      </c>
      <c r="G418">
        <v>45</v>
      </c>
      <c r="H418">
        <v>14</v>
      </c>
      <c r="I418">
        <v>791</v>
      </c>
      <c r="J418" t="s">
        <v>51</v>
      </c>
      <c r="K418">
        <v>30500000</v>
      </c>
      <c r="L418">
        <v>2.6825396825396823</v>
      </c>
    </row>
    <row r="419" spans="1:12" x14ac:dyDescent="0.2">
      <c r="A419" t="s">
        <v>68</v>
      </c>
      <c r="B419">
        <v>27</v>
      </c>
      <c r="C419" t="s">
        <v>1040</v>
      </c>
      <c r="D419" t="s">
        <v>1036</v>
      </c>
      <c r="E419">
        <v>0.53200000000000003</v>
      </c>
      <c r="F419">
        <v>283</v>
      </c>
      <c r="G419">
        <v>69</v>
      </c>
      <c r="H419">
        <v>22</v>
      </c>
      <c r="I419">
        <v>1878</v>
      </c>
      <c r="J419" t="s">
        <v>69</v>
      </c>
      <c r="K419">
        <v>28751775</v>
      </c>
      <c r="L419">
        <v>1.4171122994652405</v>
      </c>
    </row>
    <row r="420" spans="1:12" x14ac:dyDescent="0.2">
      <c r="A420" t="s">
        <v>88</v>
      </c>
      <c r="B420">
        <v>30</v>
      </c>
      <c r="C420" t="s">
        <v>1040</v>
      </c>
      <c r="D420" t="s">
        <v>1036</v>
      </c>
      <c r="E420">
        <v>0.56999999999999995</v>
      </c>
      <c r="F420">
        <v>268</v>
      </c>
      <c r="G420">
        <v>96</v>
      </c>
      <c r="H420">
        <v>37</v>
      </c>
      <c r="I420">
        <v>1046</v>
      </c>
      <c r="J420" t="s">
        <v>89</v>
      </c>
      <c r="K420">
        <v>26231111</v>
      </c>
      <c r="L420">
        <v>2.811023622047244</v>
      </c>
    </row>
    <row r="421" spans="1:12" x14ac:dyDescent="0.2">
      <c r="A421" t="s">
        <v>96</v>
      </c>
      <c r="B421">
        <v>24</v>
      </c>
      <c r="C421" t="s">
        <v>1040</v>
      </c>
      <c r="D421" t="s">
        <v>1036</v>
      </c>
      <c r="E421">
        <v>0.55800000000000005</v>
      </c>
      <c r="F421">
        <v>347</v>
      </c>
      <c r="G421">
        <v>72</v>
      </c>
      <c r="H421">
        <v>32</v>
      </c>
      <c r="I421">
        <v>1430</v>
      </c>
      <c r="J421" t="s">
        <v>97</v>
      </c>
      <c r="K421">
        <v>23735118</v>
      </c>
      <c r="L421">
        <v>1.2341772151898733</v>
      </c>
    </row>
    <row r="422" spans="1:12" x14ac:dyDescent="0.2">
      <c r="A422" t="s">
        <v>102</v>
      </c>
      <c r="B422">
        <v>26</v>
      </c>
      <c r="C422" t="s">
        <v>1040</v>
      </c>
      <c r="D422" t="s">
        <v>1036</v>
      </c>
      <c r="E422">
        <v>0.48899999999999999</v>
      </c>
      <c r="F422">
        <v>220</v>
      </c>
      <c r="G422">
        <v>87</v>
      </c>
      <c r="H422">
        <v>37</v>
      </c>
      <c r="I422">
        <v>1019</v>
      </c>
      <c r="J422" t="s">
        <v>103</v>
      </c>
      <c r="K422">
        <v>21250000</v>
      </c>
      <c r="L422">
        <v>3.4526315789473685</v>
      </c>
    </row>
    <row r="423" spans="1:12" x14ac:dyDescent="0.2">
      <c r="A423" t="s">
        <v>106</v>
      </c>
      <c r="B423">
        <v>28</v>
      </c>
      <c r="C423" t="s">
        <v>1040</v>
      </c>
      <c r="D423" t="s">
        <v>1036</v>
      </c>
      <c r="E423">
        <v>0.52700000000000002</v>
      </c>
      <c r="F423">
        <v>294</v>
      </c>
      <c r="G423">
        <v>49</v>
      </c>
      <c r="H423">
        <v>15</v>
      </c>
      <c r="I423">
        <v>1186</v>
      </c>
      <c r="J423" t="s">
        <v>107</v>
      </c>
      <c r="K423">
        <v>20700000</v>
      </c>
      <c r="L423">
        <v>2.8608695652173912</v>
      </c>
    </row>
    <row r="424" spans="1:12" x14ac:dyDescent="0.2">
      <c r="A424" t="s">
        <v>114</v>
      </c>
      <c r="B424">
        <v>25</v>
      </c>
      <c r="C424" t="s">
        <v>1040</v>
      </c>
      <c r="D424" t="s">
        <v>1036</v>
      </c>
      <c r="E424">
        <v>0.59599999999999997</v>
      </c>
      <c r="F424">
        <v>289</v>
      </c>
      <c r="G424">
        <v>46</v>
      </c>
      <c r="H424">
        <v>27</v>
      </c>
      <c r="I424">
        <v>1591</v>
      </c>
      <c r="J424" t="s">
        <v>115</v>
      </c>
      <c r="K424">
        <v>19500000</v>
      </c>
      <c r="L424">
        <v>1.3891625615763548</v>
      </c>
    </row>
    <row r="425" spans="1:12" x14ac:dyDescent="0.2">
      <c r="A425" t="s">
        <v>122</v>
      </c>
      <c r="B425">
        <v>26</v>
      </c>
      <c r="C425" t="s">
        <v>1040</v>
      </c>
      <c r="D425" t="s">
        <v>1036</v>
      </c>
      <c r="E425">
        <v>0.54800000000000004</v>
      </c>
      <c r="F425">
        <v>302</v>
      </c>
      <c r="G425">
        <v>87</v>
      </c>
      <c r="H425">
        <v>26</v>
      </c>
      <c r="I425">
        <v>1407</v>
      </c>
      <c r="J425" t="s">
        <v>123</v>
      </c>
      <c r="K425">
        <v>18900000</v>
      </c>
      <c r="L425">
        <v>2.2890625</v>
      </c>
    </row>
    <row r="426" spans="1:12" x14ac:dyDescent="0.2">
      <c r="A426" t="s">
        <v>128</v>
      </c>
      <c r="B426">
        <v>28</v>
      </c>
      <c r="C426" t="s">
        <v>1040</v>
      </c>
      <c r="D426" t="s">
        <v>1036</v>
      </c>
      <c r="E426">
        <v>0.60199999999999998</v>
      </c>
      <c r="F426">
        <v>160</v>
      </c>
      <c r="G426">
        <v>49</v>
      </c>
      <c r="H426">
        <v>13</v>
      </c>
      <c r="I426">
        <v>720</v>
      </c>
      <c r="J426" t="s">
        <v>129</v>
      </c>
      <c r="K426">
        <v>18000000</v>
      </c>
      <c r="L426">
        <v>2.7222222222222223</v>
      </c>
    </row>
    <row r="427" spans="1:12" x14ac:dyDescent="0.2">
      <c r="A427" t="s">
        <v>130</v>
      </c>
      <c r="B427">
        <v>34</v>
      </c>
      <c r="C427" t="s">
        <v>1040</v>
      </c>
      <c r="D427" t="s">
        <v>1036</v>
      </c>
      <c r="E427">
        <v>0.51400000000000001</v>
      </c>
      <c r="F427">
        <v>169</v>
      </c>
      <c r="G427">
        <v>33</v>
      </c>
      <c r="H427">
        <v>8</v>
      </c>
      <c r="I427">
        <v>672</v>
      </c>
      <c r="J427" t="s">
        <v>131</v>
      </c>
      <c r="K427">
        <v>18000000</v>
      </c>
      <c r="L427">
        <v>1.8559322033898304</v>
      </c>
    </row>
    <row r="428" spans="1:12" x14ac:dyDescent="0.2">
      <c r="A428" t="s">
        <v>176</v>
      </c>
      <c r="B428">
        <v>29</v>
      </c>
      <c r="C428" t="s">
        <v>1040</v>
      </c>
      <c r="D428" t="s">
        <v>1036</v>
      </c>
      <c r="E428">
        <v>0.48499999999999999</v>
      </c>
      <c r="F428">
        <v>158</v>
      </c>
      <c r="G428">
        <v>47</v>
      </c>
      <c r="H428">
        <v>21</v>
      </c>
      <c r="I428">
        <v>717</v>
      </c>
      <c r="J428" t="s">
        <v>177</v>
      </c>
      <c r="K428">
        <v>13500000</v>
      </c>
      <c r="L428">
        <v>1.4594594594594594</v>
      </c>
    </row>
    <row r="429" spans="1:12" x14ac:dyDescent="0.2">
      <c r="A429" t="s">
        <v>178</v>
      </c>
      <c r="B429">
        <v>26</v>
      </c>
      <c r="C429" t="s">
        <v>1040</v>
      </c>
      <c r="D429" t="s">
        <v>1036</v>
      </c>
      <c r="E429">
        <v>0.48899999999999999</v>
      </c>
      <c r="F429">
        <v>167</v>
      </c>
      <c r="G429">
        <v>72</v>
      </c>
      <c r="H429">
        <v>23</v>
      </c>
      <c r="I429">
        <v>627</v>
      </c>
      <c r="J429" t="s">
        <v>179</v>
      </c>
      <c r="K429">
        <v>13446428</v>
      </c>
      <c r="L429">
        <v>2.84375</v>
      </c>
    </row>
    <row r="430" spans="1:12" x14ac:dyDescent="0.2">
      <c r="A430" t="s">
        <v>202</v>
      </c>
      <c r="B430">
        <v>22</v>
      </c>
      <c r="C430" t="s">
        <v>1040</v>
      </c>
      <c r="D430" t="s">
        <v>1036</v>
      </c>
      <c r="E430">
        <v>0.41299999999999998</v>
      </c>
      <c r="F430">
        <v>25</v>
      </c>
      <c r="G430">
        <v>8</v>
      </c>
      <c r="H430">
        <v>2</v>
      </c>
      <c r="I430">
        <v>103</v>
      </c>
      <c r="J430" t="s">
        <v>203</v>
      </c>
      <c r="K430">
        <v>12288697</v>
      </c>
      <c r="L430">
        <v>2.3888888888888888</v>
      </c>
    </row>
    <row r="431" spans="1:12" x14ac:dyDescent="0.2">
      <c r="A431" t="s">
        <v>206</v>
      </c>
      <c r="B431">
        <v>29</v>
      </c>
      <c r="C431" t="s">
        <v>1040</v>
      </c>
      <c r="D431" t="s">
        <v>1036</v>
      </c>
      <c r="E431">
        <v>0.69599999999999995</v>
      </c>
      <c r="F431">
        <v>112</v>
      </c>
      <c r="G431">
        <v>13</v>
      </c>
      <c r="H431">
        <v>11</v>
      </c>
      <c r="I431">
        <v>249</v>
      </c>
      <c r="J431" t="s">
        <v>207</v>
      </c>
      <c r="K431">
        <v>12178571</v>
      </c>
      <c r="L431">
        <v>2.8095238095238093</v>
      </c>
    </row>
    <row r="432" spans="1:12" x14ac:dyDescent="0.2">
      <c r="A432" t="s">
        <v>216</v>
      </c>
      <c r="B432">
        <v>27</v>
      </c>
      <c r="C432" t="s">
        <v>1040</v>
      </c>
      <c r="D432" t="s">
        <v>1036</v>
      </c>
      <c r="E432">
        <v>0.438</v>
      </c>
      <c r="F432">
        <v>13</v>
      </c>
      <c r="G432">
        <v>2</v>
      </c>
      <c r="H432">
        <v>1</v>
      </c>
      <c r="I432">
        <v>20</v>
      </c>
      <c r="J432" t="s">
        <v>217</v>
      </c>
      <c r="K432">
        <v>11454048</v>
      </c>
      <c r="L432">
        <v>1.8</v>
      </c>
    </row>
    <row r="433" spans="1:12" x14ac:dyDescent="0.2">
      <c r="A433" t="s">
        <v>230</v>
      </c>
      <c r="B433">
        <v>28</v>
      </c>
      <c r="C433" t="s">
        <v>1040</v>
      </c>
      <c r="D433" t="s">
        <v>1036</v>
      </c>
      <c r="E433">
        <v>0.52900000000000003</v>
      </c>
      <c r="F433">
        <v>131</v>
      </c>
      <c r="G433">
        <v>34</v>
      </c>
      <c r="H433">
        <v>23</v>
      </c>
      <c r="I433">
        <v>363</v>
      </c>
      <c r="J433" t="s">
        <v>231</v>
      </c>
      <c r="K433">
        <v>10500000</v>
      </c>
      <c r="L433">
        <v>2.4090909090909092</v>
      </c>
    </row>
    <row r="434" spans="1:12" x14ac:dyDescent="0.2">
      <c r="A434" t="s">
        <v>238</v>
      </c>
      <c r="B434">
        <v>29</v>
      </c>
      <c r="C434" t="s">
        <v>1040</v>
      </c>
      <c r="D434" t="s">
        <v>1036</v>
      </c>
      <c r="E434">
        <v>0.57799999999999996</v>
      </c>
      <c r="F434">
        <v>142</v>
      </c>
      <c r="G434">
        <v>40</v>
      </c>
      <c r="H434">
        <v>14</v>
      </c>
      <c r="I434">
        <v>447</v>
      </c>
      <c r="J434" t="s">
        <v>239</v>
      </c>
      <c r="K434">
        <v>10000000</v>
      </c>
      <c r="L434">
        <v>2.8229166666666665</v>
      </c>
    </row>
    <row r="435" spans="1:12" x14ac:dyDescent="0.2">
      <c r="A435" t="s">
        <v>246</v>
      </c>
      <c r="B435">
        <v>25</v>
      </c>
      <c r="C435" t="s">
        <v>1040</v>
      </c>
      <c r="D435" t="s">
        <v>1036</v>
      </c>
      <c r="E435">
        <v>0.42299999999999999</v>
      </c>
      <c r="F435">
        <v>17</v>
      </c>
      <c r="G435">
        <v>4</v>
      </c>
      <c r="H435">
        <v>2</v>
      </c>
      <c r="I435">
        <v>23</v>
      </c>
      <c r="J435" t="s">
        <v>247</v>
      </c>
      <c r="K435">
        <v>9600000</v>
      </c>
      <c r="L435">
        <v>1.8571428571428572</v>
      </c>
    </row>
    <row r="436" spans="1:12" x14ac:dyDescent="0.2">
      <c r="A436" t="s">
        <v>290</v>
      </c>
      <c r="B436">
        <v>20</v>
      </c>
      <c r="C436" t="s">
        <v>1040</v>
      </c>
      <c r="D436" t="s">
        <v>1036</v>
      </c>
      <c r="E436">
        <v>0.499</v>
      </c>
      <c r="F436">
        <v>414</v>
      </c>
      <c r="G436">
        <v>53</v>
      </c>
      <c r="H436">
        <v>20</v>
      </c>
      <c r="I436">
        <v>1264</v>
      </c>
      <c r="J436" t="s">
        <v>291</v>
      </c>
      <c r="K436">
        <v>8231760</v>
      </c>
      <c r="L436">
        <v>1.5611510791366907</v>
      </c>
    </row>
    <row r="437" spans="1:12" x14ac:dyDescent="0.2">
      <c r="A437" t="s">
        <v>304</v>
      </c>
      <c r="B437">
        <v>19</v>
      </c>
      <c r="C437" t="s">
        <v>1040</v>
      </c>
      <c r="D437" t="s">
        <v>1036</v>
      </c>
      <c r="E437">
        <v>0.504</v>
      </c>
      <c r="F437">
        <v>302</v>
      </c>
      <c r="G437">
        <v>81</v>
      </c>
      <c r="H437">
        <v>18</v>
      </c>
      <c r="I437">
        <v>803</v>
      </c>
      <c r="J437" t="s">
        <v>305</v>
      </c>
      <c r="K437">
        <v>7839960</v>
      </c>
      <c r="L437">
        <v>2.1586206896551725</v>
      </c>
    </row>
    <row r="438" spans="1:12" x14ac:dyDescent="0.2">
      <c r="A438" t="s">
        <v>306</v>
      </c>
      <c r="B438">
        <v>30</v>
      </c>
      <c r="C438" t="s">
        <v>1040</v>
      </c>
      <c r="D438" t="s">
        <v>1036</v>
      </c>
      <c r="E438">
        <v>0.58199999999999996</v>
      </c>
      <c r="F438">
        <v>136</v>
      </c>
      <c r="G438">
        <v>44</v>
      </c>
      <c r="H438">
        <v>8</v>
      </c>
      <c r="I438">
        <v>711</v>
      </c>
      <c r="J438" t="s">
        <v>307</v>
      </c>
      <c r="K438">
        <v>7834449</v>
      </c>
      <c r="L438">
        <v>2.3846153846153846</v>
      </c>
    </row>
    <row r="439" spans="1:12" x14ac:dyDescent="0.2">
      <c r="A439" t="s">
        <v>336</v>
      </c>
      <c r="B439">
        <v>21</v>
      </c>
      <c r="C439" t="s">
        <v>1040</v>
      </c>
      <c r="D439" t="s">
        <v>1036</v>
      </c>
      <c r="E439">
        <v>0.51700000000000002</v>
      </c>
      <c r="F439">
        <v>129</v>
      </c>
      <c r="G439">
        <v>66</v>
      </c>
      <c r="H439">
        <v>6</v>
      </c>
      <c r="I439">
        <v>941</v>
      </c>
      <c r="J439" t="s">
        <v>337</v>
      </c>
      <c r="K439">
        <v>6720720</v>
      </c>
      <c r="L439">
        <v>2.0060975609756095</v>
      </c>
    </row>
    <row r="440" spans="1:12" x14ac:dyDescent="0.2">
      <c r="A440" t="s">
        <v>340</v>
      </c>
      <c r="B440">
        <v>22</v>
      </c>
      <c r="C440" t="s">
        <v>1040</v>
      </c>
      <c r="D440" t="s">
        <v>1036</v>
      </c>
      <c r="E440">
        <v>0.499</v>
      </c>
      <c r="F440">
        <v>245</v>
      </c>
      <c r="G440">
        <v>53</v>
      </c>
      <c r="H440">
        <v>12</v>
      </c>
      <c r="I440">
        <v>1594</v>
      </c>
      <c r="J440" t="s">
        <v>341</v>
      </c>
      <c r="K440">
        <v>6571800</v>
      </c>
      <c r="L440">
        <v>2.2758620689655173</v>
      </c>
    </row>
    <row r="441" spans="1:12" x14ac:dyDescent="0.2">
      <c r="A441" t="s">
        <v>344</v>
      </c>
      <c r="B441">
        <v>20</v>
      </c>
      <c r="C441" t="s">
        <v>1040</v>
      </c>
      <c r="D441" t="s">
        <v>1036</v>
      </c>
      <c r="E441">
        <v>0.47599999999999998</v>
      </c>
      <c r="F441">
        <v>206</v>
      </c>
      <c r="G441">
        <v>62</v>
      </c>
      <c r="H441">
        <v>24</v>
      </c>
      <c r="I441">
        <v>646</v>
      </c>
      <c r="J441" t="s">
        <v>345</v>
      </c>
      <c r="K441">
        <v>6400920</v>
      </c>
      <c r="L441">
        <v>1.4883720930232558</v>
      </c>
    </row>
    <row r="442" spans="1:12" x14ac:dyDescent="0.2">
      <c r="A442" t="s">
        <v>346</v>
      </c>
      <c r="B442">
        <v>22</v>
      </c>
      <c r="C442" t="s">
        <v>1040</v>
      </c>
      <c r="D442" t="s">
        <v>1036</v>
      </c>
      <c r="E442">
        <v>0.51300000000000001</v>
      </c>
      <c r="F442">
        <v>31</v>
      </c>
      <c r="G442">
        <v>18</v>
      </c>
      <c r="H442">
        <v>4</v>
      </c>
      <c r="I442">
        <v>89</v>
      </c>
      <c r="J442" t="s">
        <v>347</v>
      </c>
      <c r="K442">
        <v>6176578</v>
      </c>
      <c r="L442">
        <v>1.7272727272727273</v>
      </c>
    </row>
    <row r="443" spans="1:12" x14ac:dyDescent="0.2">
      <c r="A443" t="s">
        <v>352</v>
      </c>
      <c r="B443">
        <v>32</v>
      </c>
      <c r="C443" t="s">
        <v>1040</v>
      </c>
      <c r="D443" t="s">
        <v>1036</v>
      </c>
      <c r="E443">
        <v>0.46500000000000002</v>
      </c>
      <c r="F443">
        <v>150</v>
      </c>
      <c r="G443">
        <v>32</v>
      </c>
      <c r="H443">
        <v>13</v>
      </c>
      <c r="I443">
        <v>295</v>
      </c>
      <c r="J443" t="s">
        <v>353</v>
      </c>
      <c r="K443">
        <v>6000000</v>
      </c>
      <c r="L443">
        <v>4.1951219512195124</v>
      </c>
    </row>
    <row r="444" spans="1:12" x14ac:dyDescent="0.2">
      <c r="A444" t="s">
        <v>350</v>
      </c>
      <c r="B444">
        <v>29</v>
      </c>
      <c r="C444" t="s">
        <v>1040</v>
      </c>
      <c r="D444" t="s">
        <v>1036</v>
      </c>
      <c r="E444">
        <v>0.52200000000000002</v>
      </c>
      <c r="F444">
        <v>227</v>
      </c>
      <c r="G444">
        <v>31</v>
      </c>
      <c r="H444">
        <v>14</v>
      </c>
      <c r="I444">
        <v>623</v>
      </c>
      <c r="J444" t="s">
        <v>351</v>
      </c>
      <c r="K444">
        <v>6000000</v>
      </c>
      <c r="L444">
        <v>2.1836734693877551</v>
      </c>
    </row>
    <row r="445" spans="1:12" x14ac:dyDescent="0.2">
      <c r="A445" t="s">
        <v>358</v>
      </c>
      <c r="B445">
        <v>31</v>
      </c>
      <c r="C445" t="s">
        <v>1040</v>
      </c>
      <c r="D445" t="s">
        <v>1036</v>
      </c>
      <c r="E445">
        <v>0.55100000000000005</v>
      </c>
      <c r="F445">
        <v>256</v>
      </c>
      <c r="G445">
        <v>74</v>
      </c>
      <c r="H445">
        <v>41</v>
      </c>
      <c r="I445">
        <v>756</v>
      </c>
      <c r="J445" t="s">
        <v>359</v>
      </c>
      <c r="K445">
        <v>5720000</v>
      </c>
      <c r="L445">
        <v>2.2037037037037037</v>
      </c>
    </row>
    <row r="446" spans="1:12" x14ac:dyDescent="0.2">
      <c r="A446" t="s">
        <v>364</v>
      </c>
      <c r="B446">
        <v>20</v>
      </c>
      <c r="C446" t="s">
        <v>1040</v>
      </c>
      <c r="D446" t="s">
        <v>1036</v>
      </c>
      <c r="E446">
        <v>0.50600000000000001</v>
      </c>
      <c r="F446">
        <v>284</v>
      </c>
      <c r="G446">
        <v>38</v>
      </c>
      <c r="H446">
        <v>15</v>
      </c>
      <c r="I446">
        <v>1041</v>
      </c>
      <c r="J446" t="s">
        <v>365</v>
      </c>
      <c r="K446">
        <v>5572680</v>
      </c>
      <c r="L446">
        <v>2.1025641025641026</v>
      </c>
    </row>
    <row r="447" spans="1:12" x14ac:dyDescent="0.2">
      <c r="A447" t="s">
        <v>370</v>
      </c>
      <c r="B447">
        <v>22</v>
      </c>
      <c r="C447" t="s">
        <v>1040</v>
      </c>
      <c r="D447" t="s">
        <v>1036</v>
      </c>
      <c r="E447">
        <v>0.54</v>
      </c>
      <c r="F447">
        <v>101</v>
      </c>
      <c r="G447">
        <v>19</v>
      </c>
      <c r="H447">
        <v>4</v>
      </c>
      <c r="I447">
        <v>490</v>
      </c>
      <c r="J447" t="s">
        <v>371</v>
      </c>
      <c r="K447">
        <v>5345687</v>
      </c>
      <c r="L447">
        <v>1.5818181818181818</v>
      </c>
    </row>
    <row r="448" spans="1:12" x14ac:dyDescent="0.2">
      <c r="A448" t="s">
        <v>372</v>
      </c>
      <c r="B448">
        <v>19</v>
      </c>
      <c r="C448" t="s">
        <v>1040</v>
      </c>
      <c r="D448" t="s">
        <v>1036</v>
      </c>
      <c r="E448">
        <v>0.40300000000000002</v>
      </c>
      <c r="F448">
        <v>69</v>
      </c>
      <c r="G448">
        <v>27</v>
      </c>
      <c r="H448">
        <v>10</v>
      </c>
      <c r="I448">
        <v>176</v>
      </c>
      <c r="J448" t="s">
        <v>373</v>
      </c>
      <c r="K448">
        <v>5307120</v>
      </c>
      <c r="L448">
        <v>1.6626506024096386</v>
      </c>
    </row>
    <row r="449" spans="1:12" x14ac:dyDescent="0.2">
      <c r="A449" t="s">
        <v>378</v>
      </c>
      <c r="B449">
        <v>29</v>
      </c>
      <c r="C449" t="s">
        <v>1040</v>
      </c>
      <c r="D449" t="s">
        <v>1036</v>
      </c>
      <c r="E449">
        <v>0.60699999999999998</v>
      </c>
      <c r="F449">
        <v>22</v>
      </c>
      <c r="G449">
        <v>8</v>
      </c>
      <c r="H449">
        <v>1</v>
      </c>
      <c r="I449">
        <v>91</v>
      </c>
      <c r="J449" t="s">
        <v>379</v>
      </c>
      <c r="K449">
        <v>5192307</v>
      </c>
      <c r="L449">
        <v>2.2857142857142856</v>
      </c>
    </row>
    <row r="450" spans="1:12" x14ac:dyDescent="0.2">
      <c r="A450" t="s">
        <v>396</v>
      </c>
      <c r="B450">
        <v>22</v>
      </c>
      <c r="C450" t="s">
        <v>1040</v>
      </c>
      <c r="D450" t="s">
        <v>1036</v>
      </c>
      <c r="E450">
        <v>0.51900000000000002</v>
      </c>
      <c r="F450">
        <v>187</v>
      </c>
      <c r="G450">
        <v>62</v>
      </c>
      <c r="H450">
        <v>10</v>
      </c>
      <c r="I450">
        <v>1460</v>
      </c>
      <c r="J450" t="s">
        <v>397</v>
      </c>
      <c r="K450">
        <v>4991880</v>
      </c>
      <c r="L450">
        <v>1.5688622754491017</v>
      </c>
    </row>
    <row r="451" spans="1:12" x14ac:dyDescent="0.2">
      <c r="A451" t="s">
        <v>398</v>
      </c>
      <c r="B451">
        <v>28</v>
      </c>
      <c r="C451" t="s">
        <v>1040</v>
      </c>
      <c r="D451" t="s">
        <v>1036</v>
      </c>
      <c r="E451">
        <v>0.56499999999999995</v>
      </c>
      <c r="F451">
        <v>332</v>
      </c>
      <c r="G451">
        <v>49</v>
      </c>
      <c r="H451">
        <v>23</v>
      </c>
      <c r="I451">
        <v>468</v>
      </c>
      <c r="J451" t="s">
        <v>399</v>
      </c>
      <c r="K451">
        <v>4938272</v>
      </c>
      <c r="L451">
        <v>2.4545454545454546</v>
      </c>
    </row>
    <row r="452" spans="1:12" x14ac:dyDescent="0.2">
      <c r="A452" t="s">
        <v>406</v>
      </c>
      <c r="B452">
        <v>26</v>
      </c>
      <c r="C452" t="s">
        <v>1040</v>
      </c>
      <c r="D452" t="s">
        <v>1036</v>
      </c>
      <c r="E452">
        <v>8.3000000000000004E-2</v>
      </c>
      <c r="F452">
        <v>6</v>
      </c>
      <c r="G452">
        <v>2</v>
      </c>
      <c r="H452">
        <v>2</v>
      </c>
      <c r="I452">
        <v>5</v>
      </c>
      <c r="J452" t="s">
        <v>407</v>
      </c>
      <c r="K452">
        <v>4767000</v>
      </c>
      <c r="L452">
        <v>0.66666666666666663</v>
      </c>
    </row>
    <row r="453" spans="1:12" x14ac:dyDescent="0.2">
      <c r="A453" t="s">
        <v>402</v>
      </c>
      <c r="B453">
        <v>34</v>
      </c>
      <c r="C453" t="s">
        <v>1040</v>
      </c>
      <c r="D453" t="s">
        <v>1036</v>
      </c>
      <c r="E453">
        <v>0.503</v>
      </c>
      <c r="F453">
        <v>160</v>
      </c>
      <c r="G453">
        <v>43</v>
      </c>
      <c r="H453">
        <v>30</v>
      </c>
      <c r="I453">
        <v>423</v>
      </c>
      <c r="J453" t="s">
        <v>403</v>
      </c>
      <c r="K453">
        <v>4767000</v>
      </c>
      <c r="L453">
        <v>2.1379310344827585</v>
      </c>
    </row>
    <row r="454" spans="1:12" x14ac:dyDescent="0.2">
      <c r="A454" t="s">
        <v>408</v>
      </c>
      <c r="B454">
        <v>26</v>
      </c>
      <c r="C454" t="s">
        <v>1040</v>
      </c>
      <c r="D454" t="s">
        <v>1036</v>
      </c>
      <c r="E454">
        <v>0.45500000000000002</v>
      </c>
      <c r="F454">
        <v>216</v>
      </c>
      <c r="G454">
        <v>47</v>
      </c>
      <c r="H454">
        <v>9</v>
      </c>
      <c r="I454">
        <v>639</v>
      </c>
      <c r="J454" t="s">
        <v>409</v>
      </c>
      <c r="K454">
        <v>4767000</v>
      </c>
      <c r="L454">
        <v>1.970873786407767</v>
      </c>
    </row>
    <row r="455" spans="1:12" x14ac:dyDescent="0.2">
      <c r="A455" t="s">
        <v>404</v>
      </c>
      <c r="B455">
        <v>23</v>
      </c>
      <c r="C455" t="s">
        <v>1040</v>
      </c>
      <c r="D455" t="s">
        <v>1036</v>
      </c>
      <c r="E455">
        <v>0.47299999999999998</v>
      </c>
      <c r="F455">
        <v>254</v>
      </c>
      <c r="G455">
        <v>53</v>
      </c>
      <c r="H455">
        <v>47</v>
      </c>
      <c r="I455">
        <v>828</v>
      </c>
      <c r="J455" t="s">
        <v>405</v>
      </c>
      <c r="K455">
        <v>4767000</v>
      </c>
      <c r="L455">
        <v>1.0070422535211268</v>
      </c>
    </row>
    <row r="456" spans="1:12" x14ac:dyDescent="0.2">
      <c r="A456" t="s">
        <v>412</v>
      </c>
      <c r="B456">
        <v>27</v>
      </c>
      <c r="C456" t="s">
        <v>1040</v>
      </c>
      <c r="D456" t="s">
        <v>1036</v>
      </c>
      <c r="E456">
        <v>0.46899999999999997</v>
      </c>
      <c r="F456">
        <v>197</v>
      </c>
      <c r="G456">
        <v>30</v>
      </c>
      <c r="H456">
        <v>7</v>
      </c>
      <c r="I456">
        <v>406</v>
      </c>
      <c r="J456" t="s">
        <v>413</v>
      </c>
      <c r="K456">
        <v>4642800</v>
      </c>
      <c r="L456">
        <v>2.5</v>
      </c>
    </row>
    <row r="457" spans="1:12" x14ac:dyDescent="0.2">
      <c r="A457" t="s">
        <v>452</v>
      </c>
      <c r="B457">
        <v>22</v>
      </c>
      <c r="C457" t="s">
        <v>1040</v>
      </c>
      <c r="D457" t="s">
        <v>1036</v>
      </c>
      <c r="E457">
        <v>0.14299999999999999</v>
      </c>
      <c r="F457">
        <v>1</v>
      </c>
      <c r="G457">
        <v>1</v>
      </c>
      <c r="H457">
        <v>0</v>
      </c>
      <c r="I457">
        <v>2</v>
      </c>
      <c r="J457" t="s">
        <v>453</v>
      </c>
      <c r="K457">
        <v>3944013</v>
      </c>
      <c r="L457">
        <v>0.5</v>
      </c>
    </row>
    <row r="458" spans="1:12" x14ac:dyDescent="0.2">
      <c r="A458" t="s">
        <v>470</v>
      </c>
      <c r="B458">
        <v>23</v>
      </c>
      <c r="C458" t="s">
        <v>1040</v>
      </c>
      <c r="D458" t="s">
        <v>1036</v>
      </c>
      <c r="E458">
        <v>0.35299999999999998</v>
      </c>
      <c r="F458">
        <v>38</v>
      </c>
      <c r="G458">
        <v>12</v>
      </c>
      <c r="H458">
        <v>6</v>
      </c>
      <c r="I458">
        <v>83</v>
      </c>
      <c r="J458" t="s">
        <v>471</v>
      </c>
      <c r="K458">
        <v>3737520</v>
      </c>
      <c r="L458">
        <v>1.3157894736842106</v>
      </c>
    </row>
    <row r="459" spans="1:12" x14ac:dyDescent="0.2">
      <c r="A459" t="s">
        <v>476</v>
      </c>
      <c r="B459">
        <v>21</v>
      </c>
      <c r="C459" t="s">
        <v>1040</v>
      </c>
      <c r="D459" t="s">
        <v>1036</v>
      </c>
      <c r="E459">
        <v>0.39800000000000002</v>
      </c>
      <c r="F459">
        <v>35</v>
      </c>
      <c r="G459">
        <v>6</v>
      </c>
      <c r="H459">
        <v>5</v>
      </c>
      <c r="I459">
        <v>56</v>
      </c>
      <c r="J459" t="s">
        <v>477</v>
      </c>
      <c r="K459">
        <v>3631200</v>
      </c>
      <c r="L459">
        <v>1.3</v>
      </c>
    </row>
    <row r="460" spans="1:12" x14ac:dyDescent="0.2">
      <c r="A460" t="s">
        <v>492</v>
      </c>
      <c r="B460">
        <v>28</v>
      </c>
      <c r="C460" t="s">
        <v>1040</v>
      </c>
      <c r="D460" t="s">
        <v>1036</v>
      </c>
      <c r="E460">
        <v>0.57399999999999995</v>
      </c>
      <c r="F460">
        <v>256</v>
      </c>
      <c r="G460">
        <v>128</v>
      </c>
      <c r="H460">
        <v>23</v>
      </c>
      <c r="I460">
        <v>596</v>
      </c>
      <c r="J460" t="s">
        <v>493</v>
      </c>
      <c r="K460">
        <v>3500000</v>
      </c>
      <c r="L460">
        <v>3.3777777777777778</v>
      </c>
    </row>
    <row r="461" spans="1:12" x14ac:dyDescent="0.2">
      <c r="A461" t="s">
        <v>504</v>
      </c>
      <c r="B461">
        <v>29</v>
      </c>
      <c r="C461" t="s">
        <v>1040</v>
      </c>
      <c r="D461" t="s">
        <v>1036</v>
      </c>
      <c r="E461">
        <v>0.41699999999999998</v>
      </c>
      <c r="F461">
        <v>139</v>
      </c>
      <c r="G461">
        <v>25</v>
      </c>
      <c r="H461">
        <v>17</v>
      </c>
      <c r="I461">
        <v>274</v>
      </c>
      <c r="J461" t="s">
        <v>505</v>
      </c>
      <c r="K461">
        <v>3300000</v>
      </c>
      <c r="L461">
        <v>1.8695652173913044</v>
      </c>
    </row>
    <row r="462" spans="1:12" x14ac:dyDescent="0.2">
      <c r="A462" t="s">
        <v>508</v>
      </c>
      <c r="B462">
        <v>20</v>
      </c>
      <c r="C462" t="s">
        <v>1040</v>
      </c>
      <c r="D462" t="s">
        <v>1036</v>
      </c>
      <c r="E462">
        <v>0.44900000000000001</v>
      </c>
      <c r="F462">
        <v>221</v>
      </c>
      <c r="G462">
        <v>30</v>
      </c>
      <c r="H462">
        <v>18</v>
      </c>
      <c r="I462">
        <v>605</v>
      </c>
      <c r="J462" t="s">
        <v>509</v>
      </c>
      <c r="K462">
        <v>3285120</v>
      </c>
      <c r="L462">
        <v>1.8113207547169812</v>
      </c>
    </row>
    <row r="463" spans="1:12" x14ac:dyDescent="0.2">
      <c r="A463" t="s">
        <v>522</v>
      </c>
      <c r="B463">
        <v>24</v>
      </c>
      <c r="C463" t="s">
        <v>1040</v>
      </c>
      <c r="D463" t="s">
        <v>1036</v>
      </c>
      <c r="E463">
        <v>0.52800000000000002</v>
      </c>
      <c r="F463">
        <v>380</v>
      </c>
      <c r="G463">
        <v>72</v>
      </c>
      <c r="H463">
        <v>15</v>
      </c>
      <c r="I463">
        <v>688</v>
      </c>
      <c r="J463" t="s">
        <v>523</v>
      </c>
      <c r="K463">
        <v>3044160</v>
      </c>
      <c r="L463">
        <v>2.2307692307692308</v>
      </c>
    </row>
    <row r="464" spans="1:12" x14ac:dyDescent="0.2">
      <c r="A464" t="s">
        <v>528</v>
      </c>
      <c r="B464">
        <v>26</v>
      </c>
      <c r="C464" t="s">
        <v>1040</v>
      </c>
      <c r="D464" t="s">
        <v>1036</v>
      </c>
      <c r="E464">
        <v>0.52600000000000002</v>
      </c>
      <c r="F464">
        <v>67</v>
      </c>
      <c r="G464">
        <v>9</v>
      </c>
      <c r="H464">
        <v>0</v>
      </c>
      <c r="I464">
        <v>136</v>
      </c>
      <c r="J464" t="s">
        <v>529</v>
      </c>
      <c r="K464">
        <v>3000000</v>
      </c>
      <c r="L464">
        <v>5.6</v>
      </c>
    </row>
    <row r="465" spans="1:12" x14ac:dyDescent="0.2">
      <c r="A465" t="s">
        <v>540</v>
      </c>
      <c r="B465">
        <v>22</v>
      </c>
      <c r="C465" t="s">
        <v>1040</v>
      </c>
      <c r="D465" t="s">
        <v>1036</v>
      </c>
      <c r="E465">
        <v>0.52800000000000002</v>
      </c>
      <c r="F465">
        <v>231</v>
      </c>
      <c r="G465">
        <v>82</v>
      </c>
      <c r="H465">
        <v>18</v>
      </c>
      <c r="I465">
        <v>822</v>
      </c>
      <c r="J465" t="s">
        <v>541</v>
      </c>
      <c r="K465">
        <v>2761920</v>
      </c>
      <c r="L465">
        <v>3.0506329113924049</v>
      </c>
    </row>
    <row r="466" spans="1:12" x14ac:dyDescent="0.2">
      <c r="A466" t="s">
        <v>544</v>
      </c>
      <c r="B466">
        <v>23</v>
      </c>
      <c r="C466" t="s">
        <v>1040</v>
      </c>
      <c r="D466" t="s">
        <v>1036</v>
      </c>
      <c r="E466">
        <v>0.50800000000000001</v>
      </c>
      <c r="F466">
        <v>124</v>
      </c>
      <c r="G466">
        <v>105</v>
      </c>
      <c r="H466">
        <v>71</v>
      </c>
      <c r="I466">
        <v>255</v>
      </c>
      <c r="J466" t="s">
        <v>545</v>
      </c>
      <c r="K466">
        <v>2711280</v>
      </c>
      <c r="L466">
        <v>1.96875</v>
      </c>
    </row>
    <row r="467" spans="1:12" x14ac:dyDescent="0.2">
      <c r="A467" t="s">
        <v>552</v>
      </c>
      <c r="B467">
        <v>21</v>
      </c>
      <c r="C467" t="s">
        <v>1040</v>
      </c>
      <c r="D467" t="s">
        <v>1036</v>
      </c>
      <c r="E467">
        <v>0.51600000000000001</v>
      </c>
      <c r="F467">
        <v>268</v>
      </c>
      <c r="G467">
        <v>35</v>
      </c>
      <c r="H467">
        <v>17</v>
      </c>
      <c r="I467">
        <v>815</v>
      </c>
      <c r="J467" t="s">
        <v>553</v>
      </c>
      <c r="K467">
        <v>2582160</v>
      </c>
      <c r="L467">
        <v>1.8217821782178218</v>
      </c>
    </row>
    <row r="468" spans="1:12" x14ac:dyDescent="0.2">
      <c r="A468" t="s">
        <v>562</v>
      </c>
      <c r="B468">
        <v>20</v>
      </c>
      <c r="C468" t="s">
        <v>1040</v>
      </c>
      <c r="D468" t="s">
        <v>1036</v>
      </c>
      <c r="E468">
        <v>0.498</v>
      </c>
      <c r="F468">
        <v>104</v>
      </c>
      <c r="G468">
        <v>26</v>
      </c>
      <c r="H468">
        <v>13</v>
      </c>
      <c r="I468">
        <v>488</v>
      </c>
      <c r="J468" t="s">
        <v>563</v>
      </c>
      <c r="K468">
        <v>2478840</v>
      </c>
      <c r="L468">
        <v>2.9268292682926829</v>
      </c>
    </row>
    <row r="469" spans="1:12" x14ac:dyDescent="0.2">
      <c r="A469" t="s">
        <v>566</v>
      </c>
      <c r="B469">
        <v>24</v>
      </c>
      <c r="C469" t="s">
        <v>1040</v>
      </c>
      <c r="D469" t="s">
        <v>1036</v>
      </c>
      <c r="E469">
        <v>0.46700000000000003</v>
      </c>
      <c r="F469">
        <v>89</v>
      </c>
      <c r="G469">
        <v>46</v>
      </c>
      <c r="H469">
        <v>13</v>
      </c>
      <c r="I469">
        <v>475</v>
      </c>
      <c r="J469" t="s">
        <v>567</v>
      </c>
      <c r="K469">
        <v>2345640</v>
      </c>
      <c r="L469">
        <v>1.8636363636363635</v>
      </c>
    </row>
    <row r="470" spans="1:12" x14ac:dyDescent="0.2">
      <c r="A470" t="s">
        <v>570</v>
      </c>
      <c r="B470">
        <v>27</v>
      </c>
      <c r="C470" t="s">
        <v>1040</v>
      </c>
      <c r="D470" t="s">
        <v>1036</v>
      </c>
      <c r="E470">
        <v>0.61799999999999999</v>
      </c>
      <c r="F470">
        <v>112</v>
      </c>
      <c r="G470">
        <v>24</v>
      </c>
      <c r="H470">
        <v>1</v>
      </c>
      <c r="I470">
        <v>701</v>
      </c>
      <c r="J470" t="s">
        <v>571</v>
      </c>
      <c r="K470">
        <v>2337145</v>
      </c>
      <c r="L470">
        <v>1.0227272727272727</v>
      </c>
    </row>
    <row r="471" spans="1:12" x14ac:dyDescent="0.2">
      <c r="A471" t="s">
        <v>588</v>
      </c>
      <c r="B471">
        <v>23</v>
      </c>
      <c r="C471" t="s">
        <v>1040</v>
      </c>
      <c r="D471" t="s">
        <v>1036</v>
      </c>
      <c r="E471">
        <v>0.56200000000000006</v>
      </c>
      <c r="F471">
        <v>158</v>
      </c>
      <c r="G471">
        <v>37</v>
      </c>
      <c r="H471">
        <v>9</v>
      </c>
      <c r="I471">
        <v>510</v>
      </c>
      <c r="J471" t="s">
        <v>589</v>
      </c>
      <c r="K471">
        <v>2193480</v>
      </c>
      <c r="L471">
        <v>2.2641509433962264</v>
      </c>
    </row>
    <row r="472" spans="1:12" x14ac:dyDescent="0.2">
      <c r="A472" t="s">
        <v>592</v>
      </c>
      <c r="B472">
        <v>25</v>
      </c>
      <c r="C472" t="s">
        <v>1040</v>
      </c>
      <c r="D472" t="s">
        <v>1036</v>
      </c>
      <c r="E472">
        <v>0.58699999999999997</v>
      </c>
      <c r="F472">
        <v>94</v>
      </c>
      <c r="G472">
        <v>33</v>
      </c>
      <c r="H472">
        <v>10</v>
      </c>
      <c r="I472">
        <v>399</v>
      </c>
      <c r="J472" t="s">
        <v>593</v>
      </c>
      <c r="K472">
        <v>2160000</v>
      </c>
      <c r="L472">
        <v>0.96078431372549022</v>
      </c>
    </row>
    <row r="473" spans="1:12" x14ac:dyDescent="0.2">
      <c r="A473" t="s">
        <v>596</v>
      </c>
      <c r="B473">
        <v>21</v>
      </c>
      <c r="C473" t="s">
        <v>1040</v>
      </c>
      <c r="D473" t="s">
        <v>1036</v>
      </c>
      <c r="E473">
        <v>0.497</v>
      </c>
      <c r="F473">
        <v>137</v>
      </c>
      <c r="G473">
        <v>30</v>
      </c>
      <c r="H473">
        <v>12</v>
      </c>
      <c r="I473">
        <v>731</v>
      </c>
      <c r="J473" t="s">
        <v>597</v>
      </c>
      <c r="K473">
        <v>2105520</v>
      </c>
      <c r="L473">
        <v>2.1896551724137931</v>
      </c>
    </row>
    <row r="474" spans="1:12" x14ac:dyDescent="0.2">
      <c r="A474" t="s">
        <v>600</v>
      </c>
      <c r="B474">
        <v>23</v>
      </c>
      <c r="C474" t="s">
        <v>1040</v>
      </c>
      <c r="D474" t="s">
        <v>1036</v>
      </c>
      <c r="E474">
        <v>0.54900000000000004</v>
      </c>
      <c r="F474">
        <v>112</v>
      </c>
      <c r="G474">
        <v>31</v>
      </c>
      <c r="H474">
        <v>10</v>
      </c>
      <c r="I474">
        <v>567</v>
      </c>
      <c r="J474" t="s">
        <v>601</v>
      </c>
      <c r="K474">
        <v>2090040</v>
      </c>
      <c r="L474">
        <v>2.0625</v>
      </c>
    </row>
    <row r="475" spans="1:12" x14ac:dyDescent="0.2">
      <c r="A475" t="s">
        <v>612</v>
      </c>
      <c r="B475">
        <v>26</v>
      </c>
      <c r="C475" t="s">
        <v>1040</v>
      </c>
      <c r="D475" t="s">
        <v>1036</v>
      </c>
      <c r="E475">
        <v>0.48499999999999999</v>
      </c>
      <c r="F475">
        <v>93</v>
      </c>
      <c r="G475">
        <v>16</v>
      </c>
      <c r="H475">
        <v>4</v>
      </c>
      <c r="I475">
        <v>308</v>
      </c>
      <c r="J475" t="s">
        <v>613</v>
      </c>
      <c r="K475">
        <v>2000000</v>
      </c>
      <c r="L475">
        <v>2.1666666666666665</v>
      </c>
    </row>
    <row r="476" spans="1:12" x14ac:dyDescent="0.2">
      <c r="A476" t="s">
        <v>624</v>
      </c>
      <c r="B476">
        <v>22</v>
      </c>
      <c r="C476" t="s">
        <v>1040</v>
      </c>
      <c r="D476" t="s">
        <v>1036</v>
      </c>
      <c r="E476">
        <v>0.45300000000000001</v>
      </c>
      <c r="F476">
        <v>116</v>
      </c>
      <c r="G476">
        <v>38</v>
      </c>
      <c r="H476">
        <v>7</v>
      </c>
      <c r="I476">
        <v>353</v>
      </c>
      <c r="J476" t="s">
        <v>625</v>
      </c>
      <c r="K476">
        <v>1950600</v>
      </c>
      <c r="L476">
        <v>3.1860465116279069</v>
      </c>
    </row>
    <row r="477" spans="1:12" x14ac:dyDescent="0.2">
      <c r="A477" t="s">
        <v>646</v>
      </c>
      <c r="B477">
        <v>23</v>
      </c>
      <c r="C477" t="s">
        <v>1040</v>
      </c>
      <c r="D477" t="s">
        <v>1036</v>
      </c>
      <c r="E477">
        <v>0.52</v>
      </c>
      <c r="F477">
        <v>113</v>
      </c>
      <c r="G477">
        <v>49</v>
      </c>
      <c r="H477">
        <v>9</v>
      </c>
      <c r="I477">
        <v>501</v>
      </c>
      <c r="J477" t="s">
        <v>647</v>
      </c>
      <c r="K477">
        <v>1762796</v>
      </c>
      <c r="L477">
        <v>1.7826086956521738</v>
      </c>
    </row>
    <row r="478" spans="1:12" x14ac:dyDescent="0.2">
      <c r="A478" t="s">
        <v>660</v>
      </c>
      <c r="B478">
        <v>25</v>
      </c>
      <c r="C478" t="s">
        <v>1040</v>
      </c>
      <c r="D478" t="s">
        <v>1036</v>
      </c>
      <c r="E478">
        <v>0.44800000000000001</v>
      </c>
      <c r="F478">
        <v>69</v>
      </c>
      <c r="G478">
        <v>17</v>
      </c>
      <c r="H478">
        <v>0</v>
      </c>
      <c r="I478">
        <v>228</v>
      </c>
      <c r="J478" t="s">
        <v>661</v>
      </c>
      <c r="K478">
        <v>1701593</v>
      </c>
      <c r="L478">
        <v>2.6388888888888888</v>
      </c>
    </row>
    <row r="479" spans="1:12" x14ac:dyDescent="0.2">
      <c r="A479" t="s">
        <v>658</v>
      </c>
      <c r="B479">
        <v>24</v>
      </c>
      <c r="C479" t="s">
        <v>1040</v>
      </c>
      <c r="D479" t="s">
        <v>1036</v>
      </c>
      <c r="E479">
        <v>0.503</v>
      </c>
      <c r="F479">
        <v>148</v>
      </c>
      <c r="G479">
        <v>39</v>
      </c>
      <c r="H479">
        <v>18</v>
      </c>
      <c r="I479">
        <v>817</v>
      </c>
      <c r="J479" t="s">
        <v>659</v>
      </c>
      <c r="K479">
        <v>1701593</v>
      </c>
      <c r="L479">
        <v>1.8737864077669903</v>
      </c>
    </row>
    <row r="480" spans="1:12" x14ac:dyDescent="0.2">
      <c r="A480" t="s">
        <v>672</v>
      </c>
      <c r="B480">
        <v>24</v>
      </c>
      <c r="C480" t="s">
        <v>1040</v>
      </c>
      <c r="D480" t="s">
        <v>1036</v>
      </c>
      <c r="E480">
        <v>0.57599999999999996</v>
      </c>
      <c r="F480">
        <v>349</v>
      </c>
      <c r="G480">
        <v>58</v>
      </c>
      <c r="H480">
        <v>28</v>
      </c>
      <c r="I480">
        <v>573</v>
      </c>
      <c r="J480" t="s">
        <v>673</v>
      </c>
      <c r="K480">
        <v>1663861</v>
      </c>
      <c r="L480">
        <v>1.9259259259259258</v>
      </c>
    </row>
    <row r="481" spans="1:12" x14ac:dyDescent="0.2">
      <c r="A481" t="s">
        <v>678</v>
      </c>
      <c r="B481">
        <v>25</v>
      </c>
      <c r="C481" t="s">
        <v>1040</v>
      </c>
      <c r="D481" t="s">
        <v>1036</v>
      </c>
      <c r="E481">
        <v>0.57799999999999996</v>
      </c>
      <c r="F481">
        <v>179</v>
      </c>
      <c r="G481">
        <v>52</v>
      </c>
      <c r="H481">
        <v>14</v>
      </c>
      <c r="I481">
        <v>816</v>
      </c>
      <c r="J481" t="s">
        <v>679</v>
      </c>
      <c r="K481">
        <v>1663861</v>
      </c>
      <c r="L481">
        <v>1.85</v>
      </c>
    </row>
    <row r="482" spans="1:12" x14ac:dyDescent="0.2">
      <c r="A482" t="s">
        <v>694</v>
      </c>
      <c r="B482">
        <v>30</v>
      </c>
      <c r="C482" t="s">
        <v>1040</v>
      </c>
      <c r="D482" t="s">
        <v>1036</v>
      </c>
      <c r="E482">
        <v>0.28599999999999998</v>
      </c>
      <c r="F482">
        <v>24</v>
      </c>
      <c r="G482">
        <v>4</v>
      </c>
      <c r="H482">
        <v>1</v>
      </c>
      <c r="I482">
        <v>36</v>
      </c>
      <c r="J482" t="s">
        <v>695</v>
      </c>
      <c r="K482">
        <v>1620564</v>
      </c>
      <c r="L482">
        <v>9.6666666666666661</v>
      </c>
    </row>
    <row r="483" spans="1:12" x14ac:dyDescent="0.2">
      <c r="A483" t="s">
        <v>710</v>
      </c>
      <c r="B483">
        <v>28</v>
      </c>
      <c r="C483" t="s">
        <v>1040</v>
      </c>
      <c r="D483" t="s">
        <v>1036</v>
      </c>
      <c r="E483">
        <v>0.52500000000000002</v>
      </c>
      <c r="F483">
        <v>77</v>
      </c>
      <c r="G483">
        <v>14</v>
      </c>
      <c r="H483">
        <v>0</v>
      </c>
      <c r="I483">
        <v>210</v>
      </c>
      <c r="J483" t="s">
        <v>711</v>
      </c>
      <c r="K483">
        <v>1620564</v>
      </c>
      <c r="L483">
        <v>2.7647058823529411</v>
      </c>
    </row>
    <row r="484" spans="1:12" x14ac:dyDescent="0.2">
      <c r="A484" t="s">
        <v>718</v>
      </c>
      <c r="B484">
        <v>33</v>
      </c>
      <c r="C484" t="s">
        <v>1040</v>
      </c>
      <c r="D484" t="s">
        <v>1036</v>
      </c>
      <c r="E484">
        <v>0.61199999999999999</v>
      </c>
      <c r="F484">
        <v>85</v>
      </c>
      <c r="G484">
        <v>18</v>
      </c>
      <c r="H484">
        <v>9</v>
      </c>
      <c r="I484">
        <v>442</v>
      </c>
      <c r="J484" t="s">
        <v>719</v>
      </c>
      <c r="K484">
        <v>1620564</v>
      </c>
      <c r="L484">
        <v>2.0303030303030303</v>
      </c>
    </row>
    <row r="485" spans="1:12" x14ac:dyDescent="0.2">
      <c r="A485" t="s">
        <v>742</v>
      </c>
      <c r="B485">
        <v>25</v>
      </c>
      <c r="C485" t="s">
        <v>1040</v>
      </c>
      <c r="D485" t="s">
        <v>1036</v>
      </c>
      <c r="E485">
        <v>0.443</v>
      </c>
      <c r="F485">
        <v>224</v>
      </c>
      <c r="G485">
        <v>45</v>
      </c>
      <c r="H485">
        <v>5</v>
      </c>
      <c r="I485">
        <v>788</v>
      </c>
      <c r="J485" t="s">
        <v>743</v>
      </c>
      <c r="K485">
        <v>1620564</v>
      </c>
      <c r="L485">
        <v>2.0217391304347827</v>
      </c>
    </row>
    <row r="486" spans="1:12" x14ac:dyDescent="0.2">
      <c r="A486" t="s">
        <v>738</v>
      </c>
      <c r="B486">
        <v>28</v>
      </c>
      <c r="C486" t="s">
        <v>1040</v>
      </c>
      <c r="D486" t="s">
        <v>1036</v>
      </c>
      <c r="E486">
        <v>0.53900000000000003</v>
      </c>
      <c r="F486">
        <v>156</v>
      </c>
      <c r="G486">
        <v>73</v>
      </c>
      <c r="H486">
        <v>6</v>
      </c>
      <c r="I486">
        <v>557</v>
      </c>
      <c r="J486" t="s">
        <v>739</v>
      </c>
      <c r="K486">
        <v>1620564</v>
      </c>
      <c r="L486">
        <v>2.7547169811320753</v>
      </c>
    </row>
    <row r="487" spans="1:12" x14ac:dyDescent="0.2">
      <c r="A487" t="s">
        <v>804</v>
      </c>
      <c r="B487">
        <v>20</v>
      </c>
      <c r="C487" t="s">
        <v>1040</v>
      </c>
      <c r="D487" t="s">
        <v>1036</v>
      </c>
      <c r="E487">
        <v>0.111</v>
      </c>
      <c r="F487">
        <v>5</v>
      </c>
      <c r="G487">
        <v>0</v>
      </c>
      <c r="H487">
        <v>0</v>
      </c>
      <c r="I487">
        <v>5</v>
      </c>
      <c r="J487" t="s">
        <v>805</v>
      </c>
      <c r="K487">
        <v>1517981</v>
      </c>
      <c r="L487">
        <v>0</v>
      </c>
    </row>
    <row r="488" spans="1:12" x14ac:dyDescent="0.2">
      <c r="A488" t="s">
        <v>784</v>
      </c>
      <c r="B488">
        <v>23</v>
      </c>
      <c r="C488" t="s">
        <v>1040</v>
      </c>
      <c r="D488" t="s">
        <v>1036</v>
      </c>
      <c r="E488">
        <v>0.55600000000000005</v>
      </c>
      <c r="F488">
        <v>11</v>
      </c>
      <c r="G488">
        <v>2</v>
      </c>
      <c r="H488">
        <v>0</v>
      </c>
      <c r="I488">
        <v>34</v>
      </c>
      <c r="J488" t="s">
        <v>785</v>
      </c>
      <c r="K488">
        <v>1517981</v>
      </c>
      <c r="L488">
        <v>1.5</v>
      </c>
    </row>
    <row r="489" spans="1:12" x14ac:dyDescent="0.2">
      <c r="A489" t="s">
        <v>758</v>
      </c>
      <c r="B489">
        <v>22</v>
      </c>
      <c r="C489" t="s">
        <v>1040</v>
      </c>
      <c r="D489" t="s">
        <v>1036</v>
      </c>
      <c r="E489">
        <v>0.505</v>
      </c>
      <c r="F489">
        <v>26</v>
      </c>
      <c r="G489">
        <v>7</v>
      </c>
      <c r="H489">
        <v>1</v>
      </c>
      <c r="I489">
        <v>123</v>
      </c>
      <c r="J489" t="s">
        <v>759</v>
      </c>
      <c r="K489">
        <v>1517981</v>
      </c>
      <c r="L489">
        <v>2</v>
      </c>
    </row>
    <row r="490" spans="1:12" x14ac:dyDescent="0.2">
      <c r="A490" t="s">
        <v>812</v>
      </c>
      <c r="B490">
        <v>25</v>
      </c>
      <c r="C490" t="s">
        <v>1040</v>
      </c>
      <c r="D490" t="s">
        <v>1036</v>
      </c>
      <c r="E490">
        <v>0.111</v>
      </c>
      <c r="F490">
        <v>5</v>
      </c>
      <c r="G490">
        <v>0</v>
      </c>
      <c r="H490">
        <v>0</v>
      </c>
      <c r="I490">
        <v>2</v>
      </c>
      <c r="J490" t="s">
        <v>813</v>
      </c>
      <c r="K490">
        <v>1445697</v>
      </c>
      <c r="L490">
        <v>1</v>
      </c>
    </row>
    <row r="491" spans="1:12" x14ac:dyDescent="0.2">
      <c r="A491" t="s">
        <v>824</v>
      </c>
      <c r="B491">
        <v>24</v>
      </c>
      <c r="C491" t="s">
        <v>1040</v>
      </c>
      <c r="D491" t="s">
        <v>1036</v>
      </c>
      <c r="E491">
        <v>0.125</v>
      </c>
      <c r="F491">
        <v>3</v>
      </c>
      <c r="G491">
        <v>0</v>
      </c>
      <c r="H491">
        <v>0</v>
      </c>
      <c r="I491">
        <v>2</v>
      </c>
      <c r="J491" t="s">
        <v>825</v>
      </c>
      <c r="K491">
        <v>1416852</v>
      </c>
      <c r="L491">
        <v>0</v>
      </c>
    </row>
    <row r="492" spans="1:12" x14ac:dyDescent="0.2">
      <c r="A492" t="s">
        <v>830</v>
      </c>
      <c r="B492">
        <v>29</v>
      </c>
      <c r="C492" t="s">
        <v>1040</v>
      </c>
      <c r="D492" t="s">
        <v>1036</v>
      </c>
      <c r="E492">
        <v>0.17899999999999999</v>
      </c>
      <c r="F492">
        <v>15</v>
      </c>
      <c r="G492">
        <v>3</v>
      </c>
      <c r="H492">
        <v>1</v>
      </c>
      <c r="I492">
        <v>6</v>
      </c>
      <c r="J492" t="s">
        <v>831</v>
      </c>
      <c r="K492">
        <v>1340333</v>
      </c>
      <c r="L492">
        <v>2</v>
      </c>
    </row>
    <row r="493" spans="1:12" x14ac:dyDescent="0.2">
      <c r="A493" t="s">
        <v>862</v>
      </c>
      <c r="B493">
        <v>20</v>
      </c>
      <c r="C493" t="s">
        <v>1040</v>
      </c>
      <c r="D493" t="s">
        <v>1036</v>
      </c>
      <c r="E493">
        <v>0.47499999999999998</v>
      </c>
      <c r="F493">
        <v>29</v>
      </c>
      <c r="G493">
        <v>2</v>
      </c>
      <c r="H493">
        <v>0</v>
      </c>
      <c r="I493">
        <v>41</v>
      </c>
      <c r="J493" t="s">
        <v>863</v>
      </c>
      <c r="K493">
        <v>898310</v>
      </c>
      <c r="L493">
        <v>1</v>
      </c>
    </row>
    <row r="494" spans="1:12" x14ac:dyDescent="0.2">
      <c r="A494" t="s">
        <v>866</v>
      </c>
      <c r="B494">
        <v>24</v>
      </c>
      <c r="C494" t="s">
        <v>1040</v>
      </c>
      <c r="D494" t="s">
        <v>1036</v>
      </c>
      <c r="E494">
        <v>0.59</v>
      </c>
      <c r="F494">
        <v>30</v>
      </c>
      <c r="G494">
        <v>8</v>
      </c>
      <c r="H494">
        <v>1</v>
      </c>
      <c r="I494">
        <v>89</v>
      </c>
      <c r="J494" t="s">
        <v>867</v>
      </c>
      <c r="K494">
        <v>898310</v>
      </c>
      <c r="L494">
        <v>2.1</v>
      </c>
    </row>
    <row r="495" spans="1:12" x14ac:dyDescent="0.2">
      <c r="A495" t="s">
        <v>852</v>
      </c>
      <c r="B495">
        <v>21</v>
      </c>
      <c r="C495" t="s">
        <v>1040</v>
      </c>
      <c r="D495" t="s">
        <v>1036</v>
      </c>
      <c r="E495">
        <v>0.50800000000000001</v>
      </c>
      <c r="F495">
        <v>36</v>
      </c>
      <c r="G495">
        <v>12</v>
      </c>
      <c r="H495">
        <v>4</v>
      </c>
      <c r="I495">
        <v>153</v>
      </c>
      <c r="J495" t="s">
        <v>853</v>
      </c>
      <c r="K495">
        <v>898310</v>
      </c>
      <c r="L495">
        <v>1.8181818181818181</v>
      </c>
    </row>
    <row r="496" spans="1:12" x14ac:dyDescent="0.2">
      <c r="A496" t="s">
        <v>892</v>
      </c>
      <c r="B496">
        <v>21</v>
      </c>
      <c r="C496" t="s">
        <v>1040</v>
      </c>
      <c r="D496" t="s">
        <v>1036</v>
      </c>
      <c r="E496">
        <v>0.54800000000000004</v>
      </c>
      <c r="F496">
        <v>5</v>
      </c>
      <c r="G496">
        <v>4</v>
      </c>
      <c r="H496">
        <v>0</v>
      </c>
      <c r="I496">
        <v>23</v>
      </c>
      <c r="J496" t="s">
        <v>893</v>
      </c>
      <c r="K496">
        <v>449155</v>
      </c>
      <c r="L496">
        <v>0</v>
      </c>
    </row>
    <row r="497" spans="1:12" x14ac:dyDescent="0.2">
      <c r="A497" t="s">
        <v>908</v>
      </c>
      <c r="B497">
        <v>23</v>
      </c>
      <c r="C497" t="s">
        <v>1040</v>
      </c>
      <c r="D497" t="s">
        <v>1036</v>
      </c>
      <c r="E497">
        <v>0.75</v>
      </c>
      <c r="F497">
        <v>1</v>
      </c>
      <c r="G497">
        <v>1</v>
      </c>
      <c r="H497">
        <v>0</v>
      </c>
      <c r="I497">
        <v>18</v>
      </c>
      <c r="J497" t="s">
        <v>909</v>
      </c>
      <c r="K497">
        <v>449155</v>
      </c>
      <c r="L497">
        <v>3</v>
      </c>
    </row>
    <row r="498" spans="1:12" x14ac:dyDescent="0.2">
      <c r="A498" t="s">
        <v>928</v>
      </c>
      <c r="B498">
        <v>21</v>
      </c>
      <c r="C498" t="s">
        <v>1040</v>
      </c>
      <c r="D498" t="s">
        <v>1036</v>
      </c>
      <c r="E498">
        <v>0.33700000000000002</v>
      </c>
      <c r="F498">
        <v>20</v>
      </c>
      <c r="G498">
        <v>1</v>
      </c>
      <c r="H498">
        <v>2</v>
      </c>
      <c r="I498">
        <v>36</v>
      </c>
      <c r="J498" t="s">
        <v>929</v>
      </c>
      <c r="K498">
        <v>449155</v>
      </c>
      <c r="L498">
        <v>1</v>
      </c>
    </row>
    <row r="499" spans="1:12" x14ac:dyDescent="0.2">
      <c r="A499" t="s">
        <v>968</v>
      </c>
      <c r="B499">
        <v>22</v>
      </c>
      <c r="C499" t="s">
        <v>1040</v>
      </c>
      <c r="D499" t="s">
        <v>1036</v>
      </c>
      <c r="E499">
        <v>0.42899999999999999</v>
      </c>
      <c r="F499">
        <v>1</v>
      </c>
      <c r="G499">
        <v>0</v>
      </c>
      <c r="H499">
        <v>1</v>
      </c>
      <c r="I499">
        <v>9</v>
      </c>
      <c r="J499" t="s">
        <v>969</v>
      </c>
      <c r="K499">
        <v>449155</v>
      </c>
      <c r="L499">
        <v>1</v>
      </c>
    </row>
    <row r="500" spans="1:12" x14ac:dyDescent="0.2">
      <c r="A500" t="s">
        <v>964</v>
      </c>
      <c r="B500">
        <v>23</v>
      </c>
      <c r="C500" t="s">
        <v>1040</v>
      </c>
      <c r="D500" t="s">
        <v>1036</v>
      </c>
      <c r="E500">
        <v>0</v>
      </c>
      <c r="F500">
        <v>2</v>
      </c>
      <c r="G500">
        <v>0</v>
      </c>
      <c r="H500">
        <v>0</v>
      </c>
      <c r="I500">
        <v>3</v>
      </c>
      <c r="J500" t="s">
        <v>965</v>
      </c>
      <c r="K500">
        <v>449155</v>
      </c>
      <c r="L500">
        <v>0.33333333333333331</v>
      </c>
    </row>
    <row r="501" spans="1:12" x14ac:dyDescent="0.2">
      <c r="A501" t="s">
        <v>910</v>
      </c>
      <c r="B501">
        <v>22</v>
      </c>
      <c r="C501" t="s">
        <v>1040</v>
      </c>
      <c r="D501" t="s">
        <v>1036</v>
      </c>
      <c r="E501">
        <v>0.39500000000000002</v>
      </c>
      <c r="F501">
        <v>5</v>
      </c>
      <c r="G501">
        <v>2</v>
      </c>
      <c r="H501">
        <v>1</v>
      </c>
      <c r="I501">
        <v>15</v>
      </c>
      <c r="J501" t="s">
        <v>911</v>
      </c>
      <c r="K501">
        <v>449155</v>
      </c>
      <c r="L501">
        <v>1</v>
      </c>
    </row>
    <row r="502" spans="1:12" x14ac:dyDescent="0.2">
      <c r="A502" t="s">
        <v>972</v>
      </c>
      <c r="B502">
        <v>22</v>
      </c>
      <c r="C502" t="s">
        <v>1040</v>
      </c>
      <c r="D502" t="s">
        <v>1036</v>
      </c>
      <c r="E502">
        <v>0.54500000000000004</v>
      </c>
      <c r="F502">
        <v>9</v>
      </c>
      <c r="G502">
        <v>2</v>
      </c>
      <c r="H502">
        <v>1</v>
      </c>
      <c r="I502">
        <v>41</v>
      </c>
      <c r="J502" t="s">
        <v>973</v>
      </c>
      <c r="K502">
        <v>449155</v>
      </c>
      <c r="L502">
        <v>2.4</v>
      </c>
    </row>
    <row r="503" spans="1:12" x14ac:dyDescent="0.2">
      <c r="A503" t="s">
        <v>898</v>
      </c>
      <c r="B503">
        <v>24</v>
      </c>
      <c r="C503" t="s">
        <v>1040</v>
      </c>
      <c r="D503" t="s">
        <v>1036</v>
      </c>
      <c r="E503">
        <v>0.318</v>
      </c>
      <c r="F503">
        <v>7</v>
      </c>
      <c r="G503">
        <v>5</v>
      </c>
      <c r="H503">
        <v>2</v>
      </c>
      <c r="I503">
        <v>22</v>
      </c>
      <c r="J503" t="s">
        <v>899</v>
      </c>
      <c r="K503">
        <v>449155</v>
      </c>
      <c r="L503">
        <v>0.66666666666666663</v>
      </c>
    </row>
    <row r="504" spans="1:12" x14ac:dyDescent="0.2">
      <c r="A504" t="s">
        <v>954</v>
      </c>
      <c r="B504">
        <v>23</v>
      </c>
      <c r="C504" t="s">
        <v>1040</v>
      </c>
      <c r="D504" t="s">
        <v>1036</v>
      </c>
      <c r="E504">
        <v>0.52</v>
      </c>
      <c r="F504">
        <v>35</v>
      </c>
      <c r="G504">
        <v>14</v>
      </c>
      <c r="H504">
        <v>2</v>
      </c>
      <c r="I504">
        <v>124</v>
      </c>
      <c r="J504" t="s">
        <v>955</v>
      </c>
      <c r="K504">
        <v>449155</v>
      </c>
      <c r="L504">
        <v>3.3333333333333335</v>
      </c>
    </row>
    <row r="505" spans="1:12" x14ac:dyDescent="0.2">
      <c r="A505" t="s">
        <v>926</v>
      </c>
      <c r="B505">
        <v>24</v>
      </c>
      <c r="C505" t="s">
        <v>1040</v>
      </c>
      <c r="D505" t="s">
        <v>1036</v>
      </c>
      <c r="E505">
        <v>0.56999999999999995</v>
      </c>
      <c r="F505">
        <v>87</v>
      </c>
      <c r="G505">
        <v>29</v>
      </c>
      <c r="H505">
        <v>7</v>
      </c>
      <c r="I505">
        <v>354</v>
      </c>
      <c r="J505" t="s">
        <v>927</v>
      </c>
      <c r="K505">
        <v>449155</v>
      </c>
      <c r="L505">
        <v>2.6</v>
      </c>
    </row>
    <row r="506" spans="1:12" x14ac:dyDescent="0.2">
      <c r="A506" t="s">
        <v>936</v>
      </c>
      <c r="B506">
        <v>25</v>
      </c>
      <c r="C506" t="s">
        <v>1040</v>
      </c>
      <c r="D506" t="s">
        <v>1036</v>
      </c>
      <c r="E506">
        <v>0.42599999999999999</v>
      </c>
      <c r="F506">
        <v>24</v>
      </c>
      <c r="G506">
        <v>7</v>
      </c>
      <c r="H506">
        <v>6</v>
      </c>
      <c r="I506">
        <v>88</v>
      </c>
      <c r="J506" t="s">
        <v>937</v>
      </c>
      <c r="K506">
        <v>449155</v>
      </c>
      <c r="L506">
        <v>4.0625</v>
      </c>
    </row>
    <row r="507" spans="1:12" x14ac:dyDescent="0.2">
      <c r="A507" t="s">
        <v>944</v>
      </c>
      <c r="B507">
        <v>23</v>
      </c>
      <c r="C507" t="s">
        <v>1040</v>
      </c>
      <c r="D507" t="s">
        <v>1036</v>
      </c>
      <c r="E507">
        <v>0.49399999999999999</v>
      </c>
      <c r="F507">
        <v>21</v>
      </c>
      <c r="G507">
        <v>15</v>
      </c>
      <c r="H507">
        <v>1</v>
      </c>
      <c r="I507">
        <v>99</v>
      </c>
      <c r="J507" t="s">
        <v>945</v>
      </c>
      <c r="K507">
        <v>449155</v>
      </c>
      <c r="L507">
        <v>2.2962962962962963</v>
      </c>
    </row>
    <row r="508" spans="1:12" x14ac:dyDescent="0.2">
      <c r="A508" t="s">
        <v>894</v>
      </c>
      <c r="B508">
        <v>24</v>
      </c>
      <c r="C508" t="s">
        <v>1040</v>
      </c>
      <c r="D508" t="s">
        <v>1036</v>
      </c>
      <c r="E508">
        <v>0.47599999999999998</v>
      </c>
      <c r="F508">
        <v>56</v>
      </c>
      <c r="G508">
        <v>21</v>
      </c>
      <c r="H508">
        <v>2</v>
      </c>
      <c r="I508">
        <v>242</v>
      </c>
      <c r="J508" t="s">
        <v>895</v>
      </c>
      <c r="K508">
        <v>449155</v>
      </c>
      <c r="L508">
        <v>1.9705882352941178</v>
      </c>
    </row>
    <row r="509" spans="1:12" x14ac:dyDescent="0.2">
      <c r="A509" t="s">
        <v>930</v>
      </c>
      <c r="B509">
        <v>22</v>
      </c>
      <c r="C509" t="s">
        <v>1040</v>
      </c>
      <c r="D509" t="s">
        <v>1036</v>
      </c>
      <c r="E509">
        <v>0.56100000000000005</v>
      </c>
      <c r="F509">
        <v>86</v>
      </c>
      <c r="G509">
        <v>15</v>
      </c>
      <c r="H509">
        <v>1</v>
      </c>
      <c r="I509">
        <v>390</v>
      </c>
      <c r="J509" t="s">
        <v>931</v>
      </c>
      <c r="K509">
        <v>449155</v>
      </c>
      <c r="L509">
        <v>1.0588235294117647</v>
      </c>
    </row>
    <row r="510" spans="1:12" x14ac:dyDescent="0.2">
      <c r="A510" t="s">
        <v>912</v>
      </c>
      <c r="B510">
        <v>27</v>
      </c>
      <c r="C510" t="s">
        <v>1040</v>
      </c>
      <c r="D510" t="s">
        <v>1036</v>
      </c>
      <c r="E510">
        <v>0.48099999999999998</v>
      </c>
      <c r="F510">
        <v>82</v>
      </c>
      <c r="G510">
        <v>22</v>
      </c>
      <c r="H510">
        <v>5</v>
      </c>
      <c r="I510">
        <v>266</v>
      </c>
      <c r="J510" t="s">
        <v>913</v>
      </c>
      <c r="K510">
        <v>449155</v>
      </c>
      <c r="L510">
        <v>1.6086956521739131</v>
      </c>
    </row>
    <row r="511" spans="1:12" x14ac:dyDescent="0.2">
      <c r="A511" t="s">
        <v>920</v>
      </c>
      <c r="B511">
        <v>21</v>
      </c>
      <c r="C511" t="s">
        <v>1040</v>
      </c>
      <c r="D511" t="s">
        <v>1036</v>
      </c>
      <c r="E511">
        <v>0.49</v>
      </c>
      <c r="F511">
        <v>97</v>
      </c>
      <c r="G511">
        <v>32</v>
      </c>
      <c r="H511">
        <v>13</v>
      </c>
      <c r="I511">
        <v>267</v>
      </c>
      <c r="J511" t="s">
        <v>921</v>
      </c>
      <c r="K511">
        <v>449155</v>
      </c>
      <c r="L511">
        <v>3.1636363636363636</v>
      </c>
    </row>
    <row r="512" spans="1:12" x14ac:dyDescent="0.2">
      <c r="A512" t="s">
        <v>1016</v>
      </c>
      <c r="B512">
        <v>25</v>
      </c>
      <c r="C512" t="s">
        <v>1040</v>
      </c>
      <c r="D512" t="s">
        <v>1036</v>
      </c>
      <c r="E512">
        <v>0.51</v>
      </c>
      <c r="F512">
        <v>148</v>
      </c>
      <c r="G512">
        <v>48</v>
      </c>
      <c r="H512">
        <v>6</v>
      </c>
      <c r="I512">
        <v>816</v>
      </c>
      <c r="J512" t="s">
        <v>1017</v>
      </c>
      <c r="K512">
        <v>163861</v>
      </c>
      <c r="L512">
        <v>3.5119047619047619</v>
      </c>
    </row>
    <row r="513" spans="1:12" x14ac:dyDescent="0.2">
      <c r="A513" t="s">
        <v>1028</v>
      </c>
      <c r="B513">
        <v>30</v>
      </c>
      <c r="C513" t="s">
        <v>1040</v>
      </c>
      <c r="D513" t="s">
        <v>1036</v>
      </c>
      <c r="E513">
        <v>0.42899999999999999</v>
      </c>
      <c r="F513">
        <v>32</v>
      </c>
      <c r="G513">
        <v>6</v>
      </c>
      <c r="H513">
        <v>1</v>
      </c>
      <c r="I513">
        <v>100</v>
      </c>
      <c r="J513" t="s">
        <v>1029</v>
      </c>
      <c r="K513">
        <v>39608</v>
      </c>
      <c r="L513">
        <v>2.7</v>
      </c>
    </row>
    <row r="514" spans="1:12" x14ac:dyDescent="0.2">
      <c r="A514" t="s">
        <v>1030</v>
      </c>
      <c r="B514">
        <v>25</v>
      </c>
      <c r="C514" t="s">
        <v>1040</v>
      </c>
      <c r="D514" t="s">
        <v>1036</v>
      </c>
      <c r="E514">
        <v>0.5</v>
      </c>
      <c r="F514">
        <v>6</v>
      </c>
      <c r="G514">
        <v>0</v>
      </c>
      <c r="H514">
        <v>1</v>
      </c>
      <c r="I514">
        <v>16</v>
      </c>
      <c r="J514" t="s">
        <v>1031</v>
      </c>
      <c r="K514">
        <v>24611</v>
      </c>
      <c r="L514">
        <v>0.75</v>
      </c>
    </row>
  </sheetData>
  <sortState xmlns:xlrd2="http://schemas.microsoft.com/office/spreadsheetml/2017/richdata2" ref="A2:L515">
    <sortCondition ref="D183:D51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0516-C6BD-ED4E-9E91-FF69AC355F2A}">
  <dimension ref="B1:O10"/>
  <sheetViews>
    <sheetView zoomScale="140" zoomScaleNormal="140" workbookViewId="0">
      <selection activeCell="M8" sqref="M8"/>
    </sheetView>
  </sheetViews>
  <sheetFormatPr baseColWidth="10" defaultRowHeight="16" x14ac:dyDescent="0.2"/>
  <cols>
    <col min="1" max="1" width="10.83203125" customWidth="1"/>
    <col min="2" max="2" width="21.33203125" customWidth="1"/>
    <col min="3" max="3" width="8.5" customWidth="1"/>
    <col min="4" max="4" width="15.1640625" customWidth="1"/>
    <col min="5" max="5" width="14.5" bestFit="1" customWidth="1"/>
    <col min="6" max="6" width="15.33203125" customWidth="1"/>
    <col min="7" max="7" width="11.83203125" customWidth="1"/>
    <col min="8" max="8" width="16" customWidth="1"/>
    <col min="9" max="9" width="15.6640625" customWidth="1"/>
    <col min="12" max="12" width="18.1640625" bestFit="1" customWidth="1"/>
    <col min="13" max="13" width="7.5" customWidth="1"/>
    <col min="14" max="14" width="12.33203125" customWidth="1"/>
    <col min="15" max="15" width="27.1640625" customWidth="1"/>
  </cols>
  <sheetData>
    <row r="1" spans="2:15" s="3" customFormat="1" ht="17" thickBot="1" x14ac:dyDescent="0.25"/>
    <row r="2" spans="2:15" ht="17" thickBot="1" x14ac:dyDescent="0.25">
      <c r="B2" s="14" t="s">
        <v>1044</v>
      </c>
      <c r="C2" s="14" t="s">
        <v>1045</v>
      </c>
      <c r="D2" s="14" t="s">
        <v>1046</v>
      </c>
      <c r="E2" s="14" t="s">
        <v>1047</v>
      </c>
      <c r="F2" s="14" t="s">
        <v>1049</v>
      </c>
      <c r="G2" s="14" t="s">
        <v>1050</v>
      </c>
      <c r="H2" s="14" t="s">
        <v>1051</v>
      </c>
      <c r="I2" s="14" t="s">
        <v>1052</v>
      </c>
      <c r="L2" s="14" t="s">
        <v>1062</v>
      </c>
      <c r="M2" s="14" t="s">
        <v>1045</v>
      </c>
      <c r="N2" s="14" t="s">
        <v>1048</v>
      </c>
      <c r="O2" s="14" t="s">
        <v>1063</v>
      </c>
    </row>
    <row r="3" spans="2:15" ht="17" thickBot="1" x14ac:dyDescent="0.25">
      <c r="B3" s="15" t="s">
        <v>1</v>
      </c>
      <c r="C3" s="12">
        <f>COUNT(Data!B2:B514)</f>
        <v>513</v>
      </c>
      <c r="D3" s="11">
        <f>AVERAGE(Data!B2:B514)</f>
        <v>25.623781676413255</v>
      </c>
      <c r="E3" s="10">
        <f>MEDIAN(Data!B2:B514)</f>
        <v>25</v>
      </c>
      <c r="F3" s="11">
        <f>_xlfn.STDEV.S(Data!B2:B514)</f>
        <v>4.1293513658008933</v>
      </c>
      <c r="G3" s="10">
        <f>MIN(Data!B2:B514)</f>
        <v>19</v>
      </c>
      <c r="H3" s="10">
        <f>MAX(Data!B2:B514)</f>
        <v>40</v>
      </c>
      <c r="I3" s="19">
        <f t="shared" ref="I3:I10" si="0">H3-G3</f>
        <v>21</v>
      </c>
      <c r="L3" s="24" t="s">
        <v>1061</v>
      </c>
      <c r="M3" s="10">
        <f>COUNTA(Data!C2:C514)</f>
        <v>513</v>
      </c>
      <c r="N3" s="10" t="s">
        <v>1065</v>
      </c>
      <c r="O3" s="25" t="s">
        <v>1066</v>
      </c>
    </row>
    <row r="4" spans="2:15" ht="17" thickBot="1" x14ac:dyDescent="0.25">
      <c r="B4" s="15" t="s">
        <v>1054</v>
      </c>
      <c r="C4" s="13">
        <f>COUNT(Data!E2:E514)</f>
        <v>513</v>
      </c>
      <c r="D4" s="8">
        <f>AVERAGE(Data!E2:E514)</f>
        <v>0.51961403508771908</v>
      </c>
      <c r="E4" s="8">
        <f>MEDIAN(Data!E2:E514)</f>
        <v>0.52700000000000002</v>
      </c>
      <c r="F4" s="8">
        <f>_xlfn.STDEV.S(Data!E2:E514)</f>
        <v>9.9336210776239608E-2</v>
      </c>
      <c r="G4" s="8">
        <f>MIN(Data!E2:E514)</f>
        <v>0</v>
      </c>
      <c r="H4" s="8">
        <f>MAX(Data!E2:E514)</f>
        <v>1</v>
      </c>
      <c r="I4" s="20">
        <f t="shared" si="0"/>
        <v>1</v>
      </c>
      <c r="L4" s="24" t="s">
        <v>1064</v>
      </c>
      <c r="M4" s="18">
        <f>COUNTA(Data!D2:D514)</f>
        <v>513</v>
      </c>
      <c r="N4" s="18" t="s">
        <v>1068</v>
      </c>
      <c r="O4" s="26" t="s">
        <v>1067</v>
      </c>
    </row>
    <row r="5" spans="2:15" ht="17" thickBot="1" x14ac:dyDescent="0.25">
      <c r="B5" s="15" t="s">
        <v>1055</v>
      </c>
      <c r="C5" s="13">
        <f>COUNT(Data!F2:F514)</f>
        <v>513</v>
      </c>
      <c r="D5" s="7">
        <f>AVERAGE(Data!F2:F514)</f>
        <v>185.74463937621832</v>
      </c>
      <c r="E5" s="6">
        <f>MEDIAN(Data!F2:F514)</f>
        <v>152</v>
      </c>
      <c r="F5" s="7">
        <f>_xlfn.STDEV.S(Data!F2:F514)</f>
        <v>160.09559856290679</v>
      </c>
      <c r="G5" s="6">
        <f>MIN(Data!F2:F514)</f>
        <v>1</v>
      </c>
      <c r="H5" s="6">
        <f>MAX(Data!F2:F514)</f>
        <v>960</v>
      </c>
      <c r="I5" s="21">
        <f t="shared" si="0"/>
        <v>959</v>
      </c>
    </row>
    <row r="6" spans="2:15" ht="17" thickBot="1" x14ac:dyDescent="0.25">
      <c r="B6" s="15" t="s">
        <v>1056</v>
      </c>
      <c r="C6" s="13">
        <f>COUNT(Data!G2:G514)</f>
        <v>513</v>
      </c>
      <c r="D6" s="7">
        <f>AVERAGE(Data!G2:G514)</f>
        <v>31.775828460038987</v>
      </c>
      <c r="E6" s="6">
        <f>MEDIAN(Data!G2:G514)</f>
        <v>29</v>
      </c>
      <c r="F6" s="7">
        <f>_xlfn.STDEV.S(Data!G2:G514)</f>
        <v>24.925640204326079</v>
      </c>
      <c r="G6" s="6">
        <f>MIN(Data!G2:G514)</f>
        <v>0</v>
      </c>
      <c r="H6" s="6">
        <f>MAX(Data!G2:G514)</f>
        <v>128</v>
      </c>
      <c r="I6" s="21">
        <f t="shared" si="0"/>
        <v>128</v>
      </c>
    </row>
    <row r="7" spans="2:15" ht="17" thickBot="1" x14ac:dyDescent="0.25">
      <c r="B7" s="15" t="s">
        <v>1057</v>
      </c>
      <c r="C7" s="13">
        <f>COUNT(Data!H2:H514)</f>
        <v>513</v>
      </c>
      <c r="D7" s="7">
        <f>AVERAGE(Data!H2:H514)</f>
        <v>20.411306042884991</v>
      </c>
      <c r="E7" s="6">
        <f>MEDIAN(Data!H2:H514)</f>
        <v>13</v>
      </c>
      <c r="F7" s="7">
        <f>_xlfn.STDEV.S(Data!H2:H514)</f>
        <v>23.509481731819033</v>
      </c>
      <c r="G7" s="6">
        <f>MIN(Data!H2:H514)</f>
        <v>0</v>
      </c>
      <c r="H7" s="6">
        <f>MAX(Data!H2:H514)</f>
        <v>190</v>
      </c>
      <c r="I7" s="21">
        <f t="shared" si="0"/>
        <v>190</v>
      </c>
    </row>
    <row r="8" spans="2:15" ht="17" thickBot="1" x14ac:dyDescent="0.25">
      <c r="B8" s="15" t="s">
        <v>1058</v>
      </c>
      <c r="C8" s="13">
        <f>COUNT(Data!I2:I514)</f>
        <v>513</v>
      </c>
      <c r="D8" s="7">
        <f>AVERAGE(Data!I2:I514)</f>
        <v>470.38401559454189</v>
      </c>
      <c r="E8" s="6">
        <f>MEDIAN(Data!I2:I514)</f>
        <v>366</v>
      </c>
      <c r="F8" s="7">
        <f>_xlfn.STDEV.S(Data!I2:I514)</f>
        <v>415.76680698544794</v>
      </c>
      <c r="G8" s="6">
        <f>MIN(Data!I2:I514)</f>
        <v>0</v>
      </c>
      <c r="H8" s="6">
        <f>MAX(Data!I2:I514)</f>
        <v>2015</v>
      </c>
      <c r="I8" s="21">
        <f t="shared" si="0"/>
        <v>2015</v>
      </c>
    </row>
    <row r="9" spans="2:15" ht="17" thickBot="1" x14ac:dyDescent="0.25">
      <c r="B9" s="15" t="s">
        <v>1059</v>
      </c>
      <c r="C9" s="13">
        <f>COUNT(Data!K2:K514)</f>
        <v>513</v>
      </c>
      <c r="D9" s="9">
        <f>AVERAGE(Data!K2:K514)</f>
        <v>7027350.8206627676</v>
      </c>
      <c r="E9" s="9">
        <f>MEDIAN(Data!K2:K514)</f>
        <v>3044160</v>
      </c>
      <c r="F9" s="9">
        <f>_xlfn.STDEV.S(Data!K2:K514)</f>
        <v>9051601.0010489747</v>
      </c>
      <c r="G9" s="9">
        <f>MIN(Data!K2:K514)</f>
        <v>11898</v>
      </c>
      <c r="H9" s="9">
        <f>MAX(Data!K2:K514)</f>
        <v>43006362</v>
      </c>
      <c r="I9" s="22">
        <f t="shared" si="0"/>
        <v>42994464</v>
      </c>
    </row>
    <row r="10" spans="2:15" ht="17" thickBot="1" x14ac:dyDescent="0.25">
      <c r="B10" s="15" t="s">
        <v>1053</v>
      </c>
      <c r="C10" s="16">
        <f>COUNT(Data!L2:L514)</f>
        <v>513</v>
      </c>
      <c r="D10" s="17">
        <f>AVERAGE(Data!L2:L514)</f>
        <v>1.7742004669430362</v>
      </c>
      <c r="E10" s="17">
        <f>MEDIAN(Data!L2:L514)</f>
        <v>1.6818181818181819</v>
      </c>
      <c r="F10" s="17">
        <f>_xlfn.STDEV.S(Data!L2:L514)</f>
        <v>0.95928634618549358</v>
      </c>
      <c r="G10" s="18">
        <f>MIN(Data!L2:L514)</f>
        <v>0</v>
      </c>
      <c r="H10" s="17">
        <f>MAX(Data!L2:L514)</f>
        <v>9.6666666666666661</v>
      </c>
      <c r="I10" s="23">
        <f t="shared" si="0"/>
        <v>9.6666666666666661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1BE4-1B19-E348-9BBE-D43B40B1D04F}">
  <dimension ref="B2:M11"/>
  <sheetViews>
    <sheetView topLeftCell="B1" zoomScale="140" zoomScaleNormal="140" workbookViewId="0">
      <selection activeCell="K12" sqref="K12"/>
    </sheetView>
  </sheetViews>
  <sheetFormatPr baseColWidth="10" defaultRowHeight="16" x14ac:dyDescent="0.2"/>
  <cols>
    <col min="1" max="2" width="13.33203125" bestFit="1" customWidth="1"/>
    <col min="3" max="3" width="10" bestFit="1" customWidth="1"/>
    <col min="4" max="4" width="13.83203125" bestFit="1" customWidth="1"/>
    <col min="9" max="9" width="11.83203125" customWidth="1"/>
    <col min="11" max="11" width="10.83203125" bestFit="1" customWidth="1"/>
    <col min="12" max="12" width="10" bestFit="1" customWidth="1"/>
    <col min="13" max="13" width="13.83203125" bestFit="1" customWidth="1"/>
  </cols>
  <sheetData>
    <row r="2" spans="2:13" x14ac:dyDescent="0.2">
      <c r="B2" s="4" t="s">
        <v>1061</v>
      </c>
      <c r="C2" t="s">
        <v>1070</v>
      </c>
      <c r="D2" t="s">
        <v>1069</v>
      </c>
      <c r="K2" s="4" t="s">
        <v>1064</v>
      </c>
      <c r="L2" t="s">
        <v>1070</v>
      </c>
      <c r="M2" t="s">
        <v>1069</v>
      </c>
    </row>
    <row r="3" spans="2:13" x14ac:dyDescent="0.2">
      <c r="B3" s="5" t="s">
        <v>1040</v>
      </c>
      <c r="C3">
        <v>216</v>
      </c>
      <c r="D3" s="27">
        <v>0.42105263157894735</v>
      </c>
      <c r="K3" s="5" t="s">
        <v>1038</v>
      </c>
      <c r="L3">
        <v>95</v>
      </c>
      <c r="M3" s="27">
        <v>0.18518518518518517</v>
      </c>
    </row>
    <row r="4" spans="2:13" x14ac:dyDescent="0.2">
      <c r="B4" s="5" t="s">
        <v>1041</v>
      </c>
      <c r="C4">
        <v>77</v>
      </c>
      <c r="D4" s="27">
        <v>0.15009746588693956</v>
      </c>
      <c r="K4" s="5" t="s">
        <v>1037</v>
      </c>
      <c r="L4">
        <v>199</v>
      </c>
      <c r="M4" s="27">
        <v>0.38791423001949316</v>
      </c>
    </row>
    <row r="5" spans="2:13" x14ac:dyDescent="0.2">
      <c r="B5" s="5" t="s">
        <v>1039</v>
      </c>
      <c r="C5">
        <v>220</v>
      </c>
      <c r="D5" s="27">
        <v>0.42884990253411304</v>
      </c>
      <c r="K5" s="5" t="s">
        <v>1036</v>
      </c>
      <c r="L5">
        <v>219</v>
      </c>
      <c r="M5" s="27">
        <v>0.42690058479532161</v>
      </c>
    </row>
    <row r="6" spans="2:13" x14ac:dyDescent="0.2">
      <c r="B6" s="5" t="s">
        <v>1060</v>
      </c>
      <c r="C6">
        <v>513</v>
      </c>
      <c r="D6" s="27">
        <v>1</v>
      </c>
      <c r="K6" s="5" t="s">
        <v>1060</v>
      </c>
      <c r="L6">
        <v>513</v>
      </c>
      <c r="M6" s="27">
        <v>1</v>
      </c>
    </row>
    <row r="8" spans="2:13" x14ac:dyDescent="0.2">
      <c r="B8" s="5" t="s">
        <v>1071</v>
      </c>
      <c r="K8" s="5" t="s">
        <v>1075</v>
      </c>
    </row>
    <row r="9" spans="2:13" x14ac:dyDescent="0.2">
      <c r="B9" s="5" t="s">
        <v>1072</v>
      </c>
      <c r="K9" s="5" t="s">
        <v>1076</v>
      </c>
    </row>
    <row r="10" spans="2:13" x14ac:dyDescent="0.2">
      <c r="B10" s="5" t="s">
        <v>1073</v>
      </c>
      <c r="K10" s="5" t="s">
        <v>1077</v>
      </c>
    </row>
    <row r="11" spans="2:13" x14ac:dyDescent="0.2">
      <c r="B11" s="5" t="s">
        <v>1074</v>
      </c>
      <c r="K11" s="5" t="s">
        <v>1078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509BB-4F7D-894A-B1ED-CC07FCAFF464}">
  <dimension ref="B2:C80"/>
  <sheetViews>
    <sheetView topLeftCell="B21" zoomScale="125" workbookViewId="0">
      <selection activeCell="H20" sqref="H20"/>
    </sheetView>
  </sheetViews>
  <sheetFormatPr baseColWidth="10" defaultRowHeight="16" x14ac:dyDescent="0.2"/>
  <cols>
    <col min="2" max="2" width="13" bestFit="1" customWidth="1"/>
    <col min="3" max="3" width="20.33203125" bestFit="1" customWidth="1"/>
  </cols>
  <sheetData>
    <row r="2" spans="2:3" x14ac:dyDescent="0.2">
      <c r="B2" s="4" t="s">
        <v>1080</v>
      </c>
      <c r="C2" t="s">
        <v>1079</v>
      </c>
    </row>
    <row r="3" spans="2:3" x14ac:dyDescent="0.2">
      <c r="B3" s="5">
        <v>19</v>
      </c>
      <c r="C3">
        <v>13</v>
      </c>
    </row>
    <row r="4" spans="2:3" x14ac:dyDescent="0.2">
      <c r="B4" s="5">
        <v>20</v>
      </c>
      <c r="C4">
        <v>29</v>
      </c>
    </row>
    <row r="5" spans="2:3" x14ac:dyDescent="0.2">
      <c r="B5" s="5">
        <v>21</v>
      </c>
      <c r="C5">
        <v>44</v>
      </c>
    </row>
    <row r="6" spans="2:3" x14ac:dyDescent="0.2">
      <c r="B6" s="5">
        <v>22</v>
      </c>
      <c r="C6">
        <v>49</v>
      </c>
    </row>
    <row r="7" spans="2:3" x14ac:dyDescent="0.2">
      <c r="B7" s="5">
        <v>23</v>
      </c>
      <c r="C7">
        <v>53</v>
      </c>
    </row>
    <row r="8" spans="2:3" x14ac:dyDescent="0.2">
      <c r="B8" s="5">
        <v>24</v>
      </c>
      <c r="C8">
        <v>47</v>
      </c>
    </row>
    <row r="9" spans="2:3" x14ac:dyDescent="0.2">
      <c r="B9" s="5">
        <v>25</v>
      </c>
      <c r="C9">
        <v>46</v>
      </c>
    </row>
    <row r="10" spans="2:3" x14ac:dyDescent="0.2">
      <c r="B10" s="5">
        <v>26</v>
      </c>
      <c r="C10">
        <v>37</v>
      </c>
    </row>
    <row r="11" spans="2:3" x14ac:dyDescent="0.2">
      <c r="B11" s="5">
        <v>27</v>
      </c>
      <c r="C11">
        <v>35</v>
      </c>
    </row>
    <row r="12" spans="2:3" x14ac:dyDescent="0.2">
      <c r="B12" s="5">
        <v>28</v>
      </c>
      <c r="C12">
        <v>38</v>
      </c>
    </row>
    <row r="13" spans="2:3" x14ac:dyDescent="0.2">
      <c r="B13" s="5">
        <v>29</v>
      </c>
      <c r="C13">
        <v>23</v>
      </c>
    </row>
    <row r="14" spans="2:3" x14ac:dyDescent="0.2">
      <c r="B14" s="5">
        <v>30</v>
      </c>
      <c r="C14">
        <v>27</v>
      </c>
    </row>
    <row r="15" spans="2:3" x14ac:dyDescent="0.2">
      <c r="B15" s="5">
        <v>31</v>
      </c>
      <c r="C15">
        <v>19</v>
      </c>
    </row>
    <row r="16" spans="2:3" x14ac:dyDescent="0.2">
      <c r="B16" s="5">
        <v>32</v>
      </c>
      <c r="C16">
        <v>19</v>
      </c>
    </row>
    <row r="17" spans="2:3" x14ac:dyDescent="0.2">
      <c r="B17" s="5">
        <v>33</v>
      </c>
      <c r="C17">
        <v>8</v>
      </c>
    </row>
    <row r="18" spans="2:3" x14ac:dyDescent="0.2">
      <c r="B18" s="5">
        <v>34</v>
      </c>
      <c r="C18">
        <v>11</v>
      </c>
    </row>
    <row r="19" spans="2:3" x14ac:dyDescent="0.2">
      <c r="B19" s="5">
        <v>35</v>
      </c>
      <c r="C19">
        <v>9</v>
      </c>
    </row>
    <row r="20" spans="2:3" x14ac:dyDescent="0.2">
      <c r="B20" s="5">
        <v>36</v>
      </c>
      <c r="C20">
        <v>4</v>
      </c>
    </row>
    <row r="21" spans="2:3" x14ac:dyDescent="0.2">
      <c r="B21" s="5">
        <v>37</v>
      </c>
      <c r="C21">
        <v>1</v>
      </c>
    </row>
    <row r="22" spans="2:3" x14ac:dyDescent="0.2">
      <c r="B22" s="5">
        <v>40</v>
      </c>
      <c r="C22">
        <v>1</v>
      </c>
    </row>
    <row r="23" spans="2:3" x14ac:dyDescent="0.2">
      <c r="B23" s="5" t="s">
        <v>1060</v>
      </c>
      <c r="C23">
        <v>513</v>
      </c>
    </row>
    <row r="25" spans="2:3" x14ac:dyDescent="0.2">
      <c r="B25" s="4" t="s">
        <v>1080</v>
      </c>
      <c r="C25" t="s">
        <v>1087</v>
      </c>
    </row>
    <row r="26" spans="2:3" x14ac:dyDescent="0.2">
      <c r="B26" s="5" t="s">
        <v>1088</v>
      </c>
      <c r="C26">
        <v>320</v>
      </c>
    </row>
    <row r="27" spans="2:3" x14ac:dyDescent="0.2">
      <c r="B27" s="5" t="s">
        <v>1089</v>
      </c>
      <c r="C27">
        <v>78</v>
      </c>
    </row>
    <row r="28" spans="2:3" x14ac:dyDescent="0.2">
      <c r="B28" s="5" t="s">
        <v>1090</v>
      </c>
      <c r="C28">
        <v>39</v>
      </c>
    </row>
    <row r="29" spans="2:3" x14ac:dyDescent="0.2">
      <c r="B29" s="5" t="s">
        <v>1091</v>
      </c>
      <c r="C29">
        <v>27</v>
      </c>
    </row>
    <row r="30" spans="2:3" x14ac:dyDescent="0.2">
      <c r="B30" s="5" t="s">
        <v>1092</v>
      </c>
      <c r="C30">
        <v>8</v>
      </c>
    </row>
    <row r="31" spans="2:3" x14ac:dyDescent="0.2">
      <c r="B31" s="5" t="s">
        <v>1093</v>
      </c>
      <c r="C31">
        <v>20</v>
      </c>
    </row>
    <row r="32" spans="2:3" x14ac:dyDescent="0.2">
      <c r="B32" s="5" t="s">
        <v>1094</v>
      </c>
      <c r="C32">
        <v>13</v>
      </c>
    </row>
    <row r="33" spans="2:3" x14ac:dyDescent="0.2">
      <c r="B33" s="5" t="s">
        <v>1095</v>
      </c>
      <c r="C33">
        <v>2</v>
      </c>
    </row>
    <row r="34" spans="2:3" x14ac:dyDescent="0.2">
      <c r="B34" s="5" t="s">
        <v>1096</v>
      </c>
      <c r="C34">
        <v>6</v>
      </c>
    </row>
    <row r="35" spans="2:3" x14ac:dyDescent="0.2">
      <c r="B35" s="5" t="s">
        <v>1060</v>
      </c>
      <c r="C35">
        <v>513</v>
      </c>
    </row>
    <row r="43" spans="2:3" x14ac:dyDescent="0.2">
      <c r="B43" s="4" t="s">
        <v>1080</v>
      </c>
      <c r="C43" t="s">
        <v>1098</v>
      </c>
    </row>
    <row r="44" spans="2:3" x14ac:dyDescent="0.2">
      <c r="B44" s="5" t="s">
        <v>1040</v>
      </c>
      <c r="C44">
        <v>216</v>
      </c>
    </row>
    <row r="45" spans="2:3" x14ac:dyDescent="0.2">
      <c r="B45" s="5" t="s">
        <v>1041</v>
      </c>
      <c r="C45">
        <v>77</v>
      </c>
    </row>
    <row r="46" spans="2:3" x14ac:dyDescent="0.2">
      <c r="B46" s="5" t="s">
        <v>1039</v>
      </c>
      <c r="C46">
        <v>220</v>
      </c>
    </row>
    <row r="47" spans="2:3" x14ac:dyDescent="0.2">
      <c r="B47" s="5" t="s">
        <v>1060</v>
      </c>
      <c r="C47">
        <v>513</v>
      </c>
    </row>
    <row r="60" spans="2:3" x14ac:dyDescent="0.2">
      <c r="B60" s="4" t="s">
        <v>1080</v>
      </c>
      <c r="C60" t="s">
        <v>1099</v>
      </c>
    </row>
    <row r="61" spans="2:3" x14ac:dyDescent="0.2">
      <c r="B61" s="5" t="s">
        <v>1036</v>
      </c>
      <c r="C61">
        <v>219</v>
      </c>
    </row>
    <row r="62" spans="2:3" x14ac:dyDescent="0.2">
      <c r="B62" s="5" t="s">
        <v>1037</v>
      </c>
      <c r="C62">
        <v>199</v>
      </c>
    </row>
    <row r="63" spans="2:3" x14ac:dyDescent="0.2">
      <c r="B63" s="5" t="s">
        <v>1038</v>
      </c>
      <c r="C63">
        <v>94</v>
      </c>
    </row>
    <row r="64" spans="2:3" x14ac:dyDescent="0.2">
      <c r="B64" s="5" t="s">
        <v>1060</v>
      </c>
      <c r="C64">
        <v>512</v>
      </c>
    </row>
    <row r="76" spans="2:3" x14ac:dyDescent="0.2">
      <c r="B76" s="4" t="s">
        <v>1080</v>
      </c>
      <c r="C76" t="s">
        <v>1100</v>
      </c>
    </row>
    <row r="77" spans="2:3" x14ac:dyDescent="0.2">
      <c r="B77" s="5" t="s">
        <v>1036</v>
      </c>
      <c r="C77">
        <v>2.1967188329444758</v>
      </c>
    </row>
    <row r="78" spans="2:3" x14ac:dyDescent="0.2">
      <c r="B78" s="5" t="s">
        <v>1037</v>
      </c>
      <c r="C78">
        <v>1.5512977615569346</v>
      </c>
    </row>
    <row r="79" spans="2:3" x14ac:dyDescent="0.2">
      <c r="B79" s="5" t="s">
        <v>1038</v>
      </c>
      <c r="C79">
        <v>1.2671069534432418</v>
      </c>
    </row>
    <row r="80" spans="2:3" x14ac:dyDescent="0.2">
      <c r="B80" s="5" t="s">
        <v>1060</v>
      </c>
      <c r="C80">
        <v>1.7742004669430362</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C5DDE-C7FA-0C4B-99F3-BA234A69E8D5}">
  <dimension ref="A1:A15"/>
  <sheetViews>
    <sheetView tabSelected="1" zoomScale="115" workbookViewId="0">
      <selection activeCell="A9" sqref="A9"/>
    </sheetView>
  </sheetViews>
  <sheetFormatPr baseColWidth="10" defaultRowHeight="16" x14ac:dyDescent="0.2"/>
  <cols>
    <col min="1" max="1" width="142" customWidth="1"/>
  </cols>
  <sheetData>
    <row r="1" spans="1:1" x14ac:dyDescent="0.2">
      <c r="A1" t="s">
        <v>1081</v>
      </c>
    </row>
    <row r="2" spans="1:1" x14ac:dyDescent="0.2">
      <c r="A2" t="s">
        <v>1082</v>
      </c>
    </row>
    <row r="3" spans="1:1" x14ac:dyDescent="0.2">
      <c r="A3" t="s">
        <v>1083</v>
      </c>
    </row>
    <row r="4" spans="1:1" x14ac:dyDescent="0.2">
      <c r="A4" t="s">
        <v>1084</v>
      </c>
    </row>
    <row r="5" spans="1:1" x14ac:dyDescent="0.2">
      <c r="A5" t="s">
        <v>1086</v>
      </c>
    </row>
    <row r="6" spans="1:1" x14ac:dyDescent="0.2">
      <c r="A6" t="s">
        <v>1085</v>
      </c>
    </row>
    <row r="7" spans="1:1" x14ac:dyDescent="0.2">
      <c r="A7" t="s">
        <v>1097</v>
      </c>
    </row>
    <row r="8" spans="1:1" x14ac:dyDescent="0.2">
      <c r="A8" t="s">
        <v>1101</v>
      </c>
    </row>
    <row r="9" spans="1:1" x14ac:dyDescent="0.2">
      <c r="A9" t="s">
        <v>1102</v>
      </c>
    </row>
    <row r="10" spans="1:1" x14ac:dyDescent="0.2">
      <c r="A10" t="s">
        <v>1103</v>
      </c>
    </row>
    <row r="13" spans="1:1" ht="170" x14ac:dyDescent="0.2">
      <c r="A13" s="28" t="s">
        <v>1104</v>
      </c>
    </row>
    <row r="14" spans="1:1" x14ac:dyDescent="0.2">
      <c r="A14" s="29"/>
    </row>
    <row r="15" spans="1:1" ht="187" x14ac:dyDescent="0.2">
      <c r="A15" s="28" t="s">
        <v>1105</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vt:lpstr>
      <vt:lpstr>Descriptive Statistics</vt:lpstr>
      <vt:lpstr>Frequency Tables</vt:lpstr>
      <vt:lpstr>Visuals</vt:lpstr>
      <vt:lpstr>Commentary</vt:lpstr>
      <vt:lpstr>Salary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Rothstein, Ben</dc:creator>
  <cp:lastModifiedBy>Trivette, Anna</cp:lastModifiedBy>
  <dcterms:created xsi:type="dcterms:W3CDTF">2026-07-21T15:51:42Z</dcterms:created>
  <dcterms:modified xsi:type="dcterms:W3CDTF">2026-07-27T00:00:14Z</dcterms:modified>
</cp:coreProperties>
</file>