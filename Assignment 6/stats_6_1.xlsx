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enrothstein/Downloads/"/>
    </mc:Choice>
  </mc:AlternateContent>
  <xr:revisionPtr revIDLastSave="0" documentId="8_{734AAC4F-EF9D-3743-B0C1-EB5005A40E66}" xr6:coauthVersionLast="47" xr6:coauthVersionMax="47" xr10:uidLastSave="{00000000-0000-0000-0000-000000000000}"/>
  <bookViews>
    <workbookView xWindow="0" yWindow="660" windowWidth="16380" windowHeight="8200" tabRatio="500" firstSheet="3" activeTab="10" xr2:uid="{00000000-000D-0000-FFFF-FFFF00000000}"/>
  </bookViews>
  <sheets>
    <sheet name="Data" sheetId="1" r:id="rId1"/>
    <sheet name="Model 1 - All Variables" sheetId="2" r:id="rId2"/>
    <sheet name="Model 2" sheetId="3" r:id="rId3"/>
    <sheet name="Model 3" sheetId="4" r:id="rId4"/>
    <sheet name="Model 4" sheetId="5" r:id="rId5"/>
    <sheet name="Model 5" sheetId="6" r:id="rId6"/>
    <sheet name="Model 6" sheetId="7" r:id="rId7"/>
    <sheet name="Model 7" sheetId="8" r:id="rId8"/>
    <sheet name="Model 8" sheetId="9" r:id="rId9"/>
    <sheet name="Model 9" sheetId="10" r:id="rId10"/>
    <sheet name="Final Model" sheetId="11" r:id="rId11"/>
    <sheet name="Multicollinearity" sheetId="12" r:id="rId12"/>
    <sheet name="Regression Commentary" sheetId="13" r:id="rId13"/>
  </sheets>
  <definedNames>
    <definedName name="Salary">Data!$F$2:$F$514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2" l="1"/>
  <c r="B22" i="12"/>
  <c r="B21" i="12"/>
  <c r="B20" i="12"/>
  <c r="B19" i="12"/>
  <c r="B18" i="12"/>
  <c r="B17" i="12"/>
  <c r="G13" i="12"/>
  <c r="F13" i="12"/>
  <c r="E13" i="12"/>
  <c r="D13" i="12"/>
  <c r="C13" i="12"/>
  <c r="B13" i="12"/>
  <c r="F12" i="12"/>
  <c r="E12" i="12"/>
  <c r="D12" i="12"/>
  <c r="C12" i="12"/>
  <c r="B12" i="12"/>
  <c r="E11" i="12"/>
  <c r="D11" i="12"/>
  <c r="C11" i="12"/>
  <c r="B11" i="12"/>
  <c r="D10" i="12"/>
  <c r="C10" i="12"/>
  <c r="B10" i="12"/>
  <c r="C9" i="12"/>
  <c r="B9" i="12"/>
  <c r="B8" i="12"/>
  <c r="B32" i="2"/>
  <c r="B31" i="2"/>
  <c r="O514" i="1"/>
  <c r="L514" i="1"/>
  <c r="K514" i="1"/>
  <c r="H514" i="1"/>
  <c r="O513" i="1"/>
  <c r="L513" i="1"/>
  <c r="K513" i="1"/>
  <c r="H513" i="1"/>
  <c r="O512" i="1"/>
  <c r="L512" i="1"/>
  <c r="K512" i="1"/>
  <c r="H512" i="1"/>
  <c r="O511" i="1"/>
  <c r="L511" i="1"/>
  <c r="K511" i="1"/>
  <c r="H511" i="1"/>
  <c r="O510" i="1"/>
  <c r="L510" i="1"/>
  <c r="K510" i="1"/>
  <c r="H510" i="1"/>
  <c r="O509" i="1"/>
  <c r="L509" i="1"/>
  <c r="K509" i="1"/>
  <c r="H509" i="1"/>
  <c r="O508" i="1"/>
  <c r="L508" i="1"/>
  <c r="K508" i="1"/>
  <c r="H508" i="1"/>
  <c r="O507" i="1"/>
  <c r="L507" i="1"/>
  <c r="K507" i="1"/>
  <c r="H507" i="1"/>
  <c r="O506" i="1"/>
  <c r="L506" i="1"/>
  <c r="K506" i="1"/>
  <c r="H506" i="1"/>
  <c r="O505" i="1"/>
  <c r="L505" i="1"/>
  <c r="K505" i="1"/>
  <c r="H505" i="1"/>
  <c r="O504" i="1"/>
  <c r="L504" i="1"/>
  <c r="K504" i="1"/>
  <c r="H504" i="1"/>
  <c r="O503" i="1"/>
  <c r="L503" i="1"/>
  <c r="K503" i="1"/>
  <c r="H503" i="1"/>
  <c r="O502" i="1"/>
  <c r="L502" i="1"/>
  <c r="K502" i="1"/>
  <c r="H502" i="1"/>
  <c r="O501" i="1"/>
  <c r="L501" i="1"/>
  <c r="K501" i="1"/>
  <c r="H501" i="1"/>
  <c r="O500" i="1"/>
  <c r="L500" i="1"/>
  <c r="K500" i="1"/>
  <c r="H500" i="1"/>
  <c r="O499" i="1"/>
  <c r="L499" i="1"/>
  <c r="K499" i="1"/>
  <c r="H499" i="1"/>
  <c r="O498" i="1"/>
  <c r="L498" i="1"/>
  <c r="K498" i="1"/>
  <c r="H498" i="1"/>
  <c r="O497" i="1"/>
  <c r="L497" i="1"/>
  <c r="K497" i="1"/>
  <c r="H497" i="1"/>
  <c r="O496" i="1"/>
  <c r="L496" i="1"/>
  <c r="K496" i="1"/>
  <c r="H496" i="1"/>
  <c r="O495" i="1"/>
  <c r="L495" i="1"/>
  <c r="K495" i="1"/>
  <c r="H495" i="1"/>
  <c r="O494" i="1"/>
  <c r="L494" i="1"/>
  <c r="K494" i="1"/>
  <c r="H494" i="1"/>
  <c r="O493" i="1"/>
  <c r="L493" i="1"/>
  <c r="K493" i="1"/>
  <c r="H493" i="1"/>
  <c r="O492" i="1"/>
  <c r="L492" i="1"/>
  <c r="K492" i="1"/>
  <c r="H492" i="1"/>
  <c r="O491" i="1"/>
  <c r="L491" i="1"/>
  <c r="K491" i="1"/>
  <c r="H491" i="1"/>
  <c r="O490" i="1"/>
  <c r="L490" i="1"/>
  <c r="K490" i="1"/>
  <c r="H490" i="1"/>
  <c r="O489" i="1"/>
  <c r="L489" i="1"/>
  <c r="K489" i="1"/>
  <c r="H489" i="1"/>
  <c r="O488" i="1"/>
  <c r="L488" i="1"/>
  <c r="K488" i="1"/>
  <c r="H488" i="1"/>
  <c r="O487" i="1"/>
  <c r="L487" i="1"/>
  <c r="K487" i="1"/>
  <c r="H487" i="1"/>
  <c r="O486" i="1"/>
  <c r="L486" i="1"/>
  <c r="K486" i="1"/>
  <c r="H486" i="1"/>
  <c r="O485" i="1"/>
  <c r="L485" i="1"/>
  <c r="K485" i="1"/>
  <c r="H485" i="1"/>
  <c r="O484" i="1"/>
  <c r="L484" i="1"/>
  <c r="K484" i="1"/>
  <c r="H484" i="1"/>
  <c r="O483" i="1"/>
  <c r="L483" i="1"/>
  <c r="K483" i="1"/>
  <c r="H483" i="1"/>
  <c r="O482" i="1"/>
  <c r="L482" i="1"/>
  <c r="K482" i="1"/>
  <c r="H482" i="1"/>
  <c r="O481" i="1"/>
  <c r="L481" i="1"/>
  <c r="K481" i="1"/>
  <c r="H481" i="1"/>
  <c r="O480" i="1"/>
  <c r="L480" i="1"/>
  <c r="K480" i="1"/>
  <c r="H480" i="1"/>
  <c r="O479" i="1"/>
  <c r="L479" i="1"/>
  <c r="K479" i="1"/>
  <c r="H479" i="1"/>
  <c r="O478" i="1"/>
  <c r="L478" i="1"/>
  <c r="K478" i="1"/>
  <c r="H478" i="1"/>
  <c r="O477" i="1"/>
  <c r="L477" i="1"/>
  <c r="K477" i="1"/>
  <c r="H477" i="1"/>
  <c r="O476" i="1"/>
  <c r="L476" i="1"/>
  <c r="K476" i="1"/>
  <c r="H476" i="1"/>
  <c r="O475" i="1"/>
  <c r="L475" i="1"/>
  <c r="K475" i="1"/>
  <c r="H475" i="1"/>
  <c r="O474" i="1"/>
  <c r="L474" i="1"/>
  <c r="K474" i="1"/>
  <c r="H474" i="1"/>
  <c r="O473" i="1"/>
  <c r="L473" i="1"/>
  <c r="K473" i="1"/>
  <c r="H473" i="1"/>
  <c r="O472" i="1"/>
  <c r="L472" i="1"/>
  <c r="K472" i="1"/>
  <c r="H472" i="1"/>
  <c r="O471" i="1"/>
  <c r="L471" i="1"/>
  <c r="K471" i="1"/>
  <c r="H471" i="1"/>
  <c r="O470" i="1"/>
  <c r="L470" i="1"/>
  <c r="K470" i="1"/>
  <c r="H470" i="1"/>
  <c r="O469" i="1"/>
  <c r="L469" i="1"/>
  <c r="K469" i="1"/>
  <c r="H469" i="1"/>
  <c r="O468" i="1"/>
  <c r="L468" i="1"/>
  <c r="K468" i="1"/>
  <c r="H468" i="1"/>
  <c r="O467" i="1"/>
  <c r="L467" i="1"/>
  <c r="K467" i="1"/>
  <c r="H467" i="1"/>
  <c r="O466" i="1"/>
  <c r="L466" i="1"/>
  <c r="K466" i="1"/>
  <c r="H466" i="1"/>
  <c r="O465" i="1"/>
  <c r="L465" i="1"/>
  <c r="K465" i="1"/>
  <c r="H465" i="1"/>
  <c r="O464" i="1"/>
  <c r="L464" i="1"/>
  <c r="K464" i="1"/>
  <c r="H464" i="1"/>
  <c r="O463" i="1"/>
  <c r="L463" i="1"/>
  <c r="K463" i="1"/>
  <c r="H463" i="1"/>
  <c r="O462" i="1"/>
  <c r="L462" i="1"/>
  <c r="K462" i="1"/>
  <c r="H462" i="1"/>
  <c r="O461" i="1"/>
  <c r="L461" i="1"/>
  <c r="K461" i="1"/>
  <c r="H461" i="1"/>
  <c r="O460" i="1"/>
  <c r="L460" i="1"/>
  <c r="K460" i="1"/>
  <c r="H460" i="1"/>
  <c r="O459" i="1"/>
  <c r="L459" i="1"/>
  <c r="K459" i="1"/>
  <c r="H459" i="1"/>
  <c r="O458" i="1"/>
  <c r="L458" i="1"/>
  <c r="K458" i="1"/>
  <c r="H458" i="1"/>
  <c r="O457" i="1"/>
  <c r="L457" i="1"/>
  <c r="K457" i="1"/>
  <c r="H457" i="1"/>
  <c r="O456" i="1"/>
  <c r="L456" i="1"/>
  <c r="K456" i="1"/>
  <c r="H456" i="1"/>
  <c r="O455" i="1"/>
  <c r="L455" i="1"/>
  <c r="K455" i="1"/>
  <c r="H455" i="1"/>
  <c r="O454" i="1"/>
  <c r="L454" i="1"/>
  <c r="K454" i="1"/>
  <c r="H454" i="1"/>
  <c r="O453" i="1"/>
  <c r="L453" i="1"/>
  <c r="K453" i="1"/>
  <c r="H453" i="1"/>
  <c r="O452" i="1"/>
  <c r="L452" i="1"/>
  <c r="K452" i="1"/>
  <c r="H452" i="1"/>
  <c r="O451" i="1"/>
  <c r="L451" i="1"/>
  <c r="K451" i="1"/>
  <c r="H451" i="1"/>
  <c r="O450" i="1"/>
  <c r="L450" i="1"/>
  <c r="K450" i="1"/>
  <c r="H450" i="1"/>
  <c r="O449" i="1"/>
  <c r="L449" i="1"/>
  <c r="K449" i="1"/>
  <c r="H449" i="1"/>
  <c r="O448" i="1"/>
  <c r="L448" i="1"/>
  <c r="K448" i="1"/>
  <c r="H448" i="1"/>
  <c r="O447" i="1"/>
  <c r="L447" i="1"/>
  <c r="K447" i="1"/>
  <c r="H447" i="1"/>
  <c r="O446" i="1"/>
  <c r="L446" i="1"/>
  <c r="K446" i="1"/>
  <c r="H446" i="1"/>
  <c r="O445" i="1"/>
  <c r="L445" i="1"/>
  <c r="K445" i="1"/>
  <c r="H445" i="1"/>
  <c r="O444" i="1"/>
  <c r="L444" i="1"/>
  <c r="K444" i="1"/>
  <c r="H444" i="1"/>
  <c r="O443" i="1"/>
  <c r="L443" i="1"/>
  <c r="K443" i="1"/>
  <c r="H443" i="1"/>
  <c r="O442" i="1"/>
  <c r="L442" i="1"/>
  <c r="K442" i="1"/>
  <c r="H442" i="1"/>
  <c r="O441" i="1"/>
  <c r="L441" i="1"/>
  <c r="K441" i="1"/>
  <c r="H441" i="1"/>
  <c r="O440" i="1"/>
  <c r="L440" i="1"/>
  <c r="K440" i="1"/>
  <c r="H440" i="1"/>
  <c r="O439" i="1"/>
  <c r="L439" i="1"/>
  <c r="K439" i="1"/>
  <c r="H439" i="1"/>
  <c r="O438" i="1"/>
  <c r="L438" i="1"/>
  <c r="K438" i="1"/>
  <c r="H438" i="1"/>
  <c r="O437" i="1"/>
  <c r="L437" i="1"/>
  <c r="K437" i="1"/>
  <c r="H437" i="1"/>
  <c r="O436" i="1"/>
  <c r="L436" i="1"/>
  <c r="K436" i="1"/>
  <c r="H436" i="1"/>
  <c r="O435" i="1"/>
  <c r="L435" i="1"/>
  <c r="K435" i="1"/>
  <c r="H435" i="1"/>
  <c r="O434" i="1"/>
  <c r="L434" i="1"/>
  <c r="K434" i="1"/>
  <c r="H434" i="1"/>
  <c r="O433" i="1"/>
  <c r="L433" i="1"/>
  <c r="K433" i="1"/>
  <c r="H433" i="1"/>
  <c r="O432" i="1"/>
  <c r="L432" i="1"/>
  <c r="K432" i="1"/>
  <c r="H432" i="1"/>
  <c r="O431" i="1"/>
  <c r="L431" i="1"/>
  <c r="K431" i="1"/>
  <c r="H431" i="1"/>
  <c r="O430" i="1"/>
  <c r="L430" i="1"/>
  <c r="K430" i="1"/>
  <c r="H430" i="1"/>
  <c r="O429" i="1"/>
  <c r="L429" i="1"/>
  <c r="K429" i="1"/>
  <c r="H429" i="1"/>
  <c r="O428" i="1"/>
  <c r="L428" i="1"/>
  <c r="K428" i="1"/>
  <c r="H428" i="1"/>
  <c r="O427" i="1"/>
  <c r="L427" i="1"/>
  <c r="K427" i="1"/>
  <c r="H427" i="1"/>
  <c r="O426" i="1"/>
  <c r="L426" i="1"/>
  <c r="K426" i="1"/>
  <c r="H426" i="1"/>
  <c r="O425" i="1"/>
  <c r="L425" i="1"/>
  <c r="K425" i="1"/>
  <c r="H425" i="1"/>
  <c r="O424" i="1"/>
  <c r="L424" i="1"/>
  <c r="K424" i="1"/>
  <c r="H424" i="1"/>
  <c r="O423" i="1"/>
  <c r="L423" i="1"/>
  <c r="K423" i="1"/>
  <c r="H423" i="1"/>
  <c r="O422" i="1"/>
  <c r="L422" i="1"/>
  <c r="K422" i="1"/>
  <c r="H422" i="1"/>
  <c r="O421" i="1"/>
  <c r="L421" i="1"/>
  <c r="K421" i="1"/>
  <c r="H421" i="1"/>
  <c r="O420" i="1"/>
  <c r="L420" i="1"/>
  <c r="K420" i="1"/>
  <c r="H420" i="1"/>
  <c r="O419" i="1"/>
  <c r="L419" i="1"/>
  <c r="K419" i="1"/>
  <c r="H419" i="1"/>
  <c r="O418" i="1"/>
  <c r="L418" i="1"/>
  <c r="K418" i="1"/>
  <c r="H418" i="1"/>
  <c r="O417" i="1"/>
  <c r="L417" i="1"/>
  <c r="K417" i="1"/>
  <c r="H417" i="1"/>
  <c r="O416" i="1"/>
  <c r="L416" i="1"/>
  <c r="K416" i="1"/>
  <c r="H416" i="1"/>
  <c r="O415" i="1"/>
  <c r="L415" i="1"/>
  <c r="K415" i="1"/>
  <c r="H415" i="1"/>
  <c r="O414" i="1"/>
  <c r="L414" i="1"/>
  <c r="K414" i="1"/>
  <c r="H414" i="1"/>
  <c r="O413" i="1"/>
  <c r="L413" i="1"/>
  <c r="K413" i="1"/>
  <c r="H413" i="1"/>
  <c r="O412" i="1"/>
  <c r="L412" i="1"/>
  <c r="K412" i="1"/>
  <c r="H412" i="1"/>
  <c r="O411" i="1"/>
  <c r="L411" i="1"/>
  <c r="K411" i="1"/>
  <c r="H411" i="1"/>
  <c r="O410" i="1"/>
  <c r="L410" i="1"/>
  <c r="K410" i="1"/>
  <c r="H410" i="1"/>
  <c r="O409" i="1"/>
  <c r="L409" i="1"/>
  <c r="K409" i="1"/>
  <c r="H409" i="1"/>
  <c r="O408" i="1"/>
  <c r="L408" i="1"/>
  <c r="K408" i="1"/>
  <c r="H408" i="1"/>
  <c r="O407" i="1"/>
  <c r="L407" i="1"/>
  <c r="K407" i="1"/>
  <c r="H407" i="1"/>
  <c r="O406" i="1"/>
  <c r="L406" i="1"/>
  <c r="K406" i="1"/>
  <c r="H406" i="1"/>
  <c r="O405" i="1"/>
  <c r="L405" i="1"/>
  <c r="K405" i="1"/>
  <c r="H405" i="1"/>
  <c r="O404" i="1"/>
  <c r="L404" i="1"/>
  <c r="K404" i="1"/>
  <c r="H404" i="1"/>
  <c r="O403" i="1"/>
  <c r="L403" i="1"/>
  <c r="K403" i="1"/>
  <c r="H403" i="1"/>
  <c r="O402" i="1"/>
  <c r="L402" i="1"/>
  <c r="K402" i="1"/>
  <c r="H402" i="1"/>
  <c r="O401" i="1"/>
  <c r="L401" i="1"/>
  <c r="K401" i="1"/>
  <c r="H401" i="1"/>
  <c r="O400" i="1"/>
  <c r="L400" i="1"/>
  <c r="K400" i="1"/>
  <c r="H400" i="1"/>
  <c r="O399" i="1"/>
  <c r="L399" i="1"/>
  <c r="K399" i="1"/>
  <c r="H399" i="1"/>
  <c r="O398" i="1"/>
  <c r="L398" i="1"/>
  <c r="K398" i="1"/>
  <c r="H398" i="1"/>
  <c r="O397" i="1"/>
  <c r="L397" i="1"/>
  <c r="K397" i="1"/>
  <c r="H397" i="1"/>
  <c r="O396" i="1"/>
  <c r="L396" i="1"/>
  <c r="K396" i="1"/>
  <c r="H396" i="1"/>
  <c r="O395" i="1"/>
  <c r="L395" i="1"/>
  <c r="K395" i="1"/>
  <c r="H395" i="1"/>
  <c r="O394" i="1"/>
  <c r="L394" i="1"/>
  <c r="K394" i="1"/>
  <c r="H394" i="1"/>
  <c r="O393" i="1"/>
  <c r="L393" i="1"/>
  <c r="K393" i="1"/>
  <c r="H393" i="1"/>
  <c r="O392" i="1"/>
  <c r="L392" i="1"/>
  <c r="K392" i="1"/>
  <c r="H392" i="1"/>
  <c r="O391" i="1"/>
  <c r="L391" i="1"/>
  <c r="K391" i="1"/>
  <c r="H391" i="1"/>
  <c r="O390" i="1"/>
  <c r="L390" i="1"/>
  <c r="K390" i="1"/>
  <c r="H390" i="1"/>
  <c r="O389" i="1"/>
  <c r="L389" i="1"/>
  <c r="K389" i="1"/>
  <c r="H389" i="1"/>
  <c r="O388" i="1"/>
  <c r="L388" i="1"/>
  <c r="K388" i="1"/>
  <c r="H388" i="1"/>
  <c r="O387" i="1"/>
  <c r="L387" i="1"/>
  <c r="K387" i="1"/>
  <c r="H387" i="1"/>
  <c r="O386" i="1"/>
  <c r="L386" i="1"/>
  <c r="K386" i="1"/>
  <c r="H386" i="1"/>
  <c r="O385" i="1"/>
  <c r="L385" i="1"/>
  <c r="K385" i="1"/>
  <c r="H385" i="1"/>
  <c r="O384" i="1"/>
  <c r="L384" i="1"/>
  <c r="K384" i="1"/>
  <c r="H384" i="1"/>
  <c r="O383" i="1"/>
  <c r="L383" i="1"/>
  <c r="K383" i="1"/>
  <c r="H383" i="1"/>
  <c r="O382" i="1"/>
  <c r="L382" i="1"/>
  <c r="K382" i="1"/>
  <c r="H382" i="1"/>
  <c r="O381" i="1"/>
  <c r="L381" i="1"/>
  <c r="K381" i="1"/>
  <c r="H381" i="1"/>
  <c r="O380" i="1"/>
  <c r="L380" i="1"/>
  <c r="K380" i="1"/>
  <c r="H380" i="1"/>
  <c r="O379" i="1"/>
  <c r="L379" i="1"/>
  <c r="K379" i="1"/>
  <c r="H379" i="1"/>
  <c r="O378" i="1"/>
  <c r="L378" i="1"/>
  <c r="K378" i="1"/>
  <c r="H378" i="1"/>
  <c r="O377" i="1"/>
  <c r="L377" i="1"/>
  <c r="K377" i="1"/>
  <c r="H377" i="1"/>
  <c r="O376" i="1"/>
  <c r="L376" i="1"/>
  <c r="K376" i="1"/>
  <c r="H376" i="1"/>
  <c r="O375" i="1"/>
  <c r="L375" i="1"/>
  <c r="K375" i="1"/>
  <c r="H375" i="1"/>
  <c r="O374" i="1"/>
  <c r="L374" i="1"/>
  <c r="K374" i="1"/>
  <c r="H374" i="1"/>
  <c r="O373" i="1"/>
  <c r="L373" i="1"/>
  <c r="K373" i="1"/>
  <c r="H373" i="1"/>
  <c r="O372" i="1"/>
  <c r="L372" i="1"/>
  <c r="K372" i="1"/>
  <c r="H372" i="1"/>
  <c r="O371" i="1"/>
  <c r="L371" i="1"/>
  <c r="K371" i="1"/>
  <c r="H371" i="1"/>
  <c r="O370" i="1"/>
  <c r="L370" i="1"/>
  <c r="K370" i="1"/>
  <c r="H370" i="1"/>
  <c r="O369" i="1"/>
  <c r="L369" i="1"/>
  <c r="K369" i="1"/>
  <c r="H369" i="1"/>
  <c r="O368" i="1"/>
  <c r="L368" i="1"/>
  <c r="K368" i="1"/>
  <c r="H368" i="1"/>
  <c r="O367" i="1"/>
  <c r="L367" i="1"/>
  <c r="K367" i="1"/>
  <c r="H367" i="1"/>
  <c r="O366" i="1"/>
  <c r="L366" i="1"/>
  <c r="K366" i="1"/>
  <c r="H366" i="1"/>
  <c r="O365" i="1"/>
  <c r="L365" i="1"/>
  <c r="K365" i="1"/>
  <c r="H365" i="1"/>
  <c r="O364" i="1"/>
  <c r="L364" i="1"/>
  <c r="K364" i="1"/>
  <c r="H364" i="1"/>
  <c r="O363" i="1"/>
  <c r="L363" i="1"/>
  <c r="K363" i="1"/>
  <c r="H363" i="1"/>
  <c r="O362" i="1"/>
  <c r="L362" i="1"/>
  <c r="K362" i="1"/>
  <c r="H362" i="1"/>
  <c r="O361" i="1"/>
  <c r="L361" i="1"/>
  <c r="K361" i="1"/>
  <c r="H361" i="1"/>
  <c r="O360" i="1"/>
  <c r="L360" i="1"/>
  <c r="K360" i="1"/>
  <c r="H360" i="1"/>
  <c r="O359" i="1"/>
  <c r="L359" i="1"/>
  <c r="K359" i="1"/>
  <c r="H359" i="1"/>
  <c r="O358" i="1"/>
  <c r="L358" i="1"/>
  <c r="K358" i="1"/>
  <c r="H358" i="1"/>
  <c r="O357" i="1"/>
  <c r="L357" i="1"/>
  <c r="K357" i="1"/>
  <c r="H357" i="1"/>
  <c r="O356" i="1"/>
  <c r="L356" i="1"/>
  <c r="K356" i="1"/>
  <c r="H356" i="1"/>
  <c r="O355" i="1"/>
  <c r="L355" i="1"/>
  <c r="K355" i="1"/>
  <c r="H355" i="1"/>
  <c r="O354" i="1"/>
  <c r="L354" i="1"/>
  <c r="K354" i="1"/>
  <c r="H354" i="1"/>
  <c r="O353" i="1"/>
  <c r="L353" i="1"/>
  <c r="K353" i="1"/>
  <c r="H353" i="1"/>
  <c r="O352" i="1"/>
  <c r="L352" i="1"/>
  <c r="K352" i="1"/>
  <c r="H352" i="1"/>
  <c r="O351" i="1"/>
  <c r="L351" i="1"/>
  <c r="K351" i="1"/>
  <c r="H351" i="1"/>
  <c r="O350" i="1"/>
  <c r="L350" i="1"/>
  <c r="K350" i="1"/>
  <c r="H350" i="1"/>
  <c r="O349" i="1"/>
  <c r="L349" i="1"/>
  <c r="K349" i="1"/>
  <c r="H349" i="1"/>
  <c r="O348" i="1"/>
  <c r="L348" i="1"/>
  <c r="K348" i="1"/>
  <c r="H348" i="1"/>
  <c r="O347" i="1"/>
  <c r="L347" i="1"/>
  <c r="K347" i="1"/>
  <c r="H347" i="1"/>
  <c r="O346" i="1"/>
  <c r="L346" i="1"/>
  <c r="K346" i="1"/>
  <c r="H346" i="1"/>
  <c r="O345" i="1"/>
  <c r="L345" i="1"/>
  <c r="K345" i="1"/>
  <c r="H345" i="1"/>
  <c r="O344" i="1"/>
  <c r="L344" i="1"/>
  <c r="K344" i="1"/>
  <c r="H344" i="1"/>
  <c r="O343" i="1"/>
  <c r="L343" i="1"/>
  <c r="K343" i="1"/>
  <c r="H343" i="1"/>
  <c r="O342" i="1"/>
  <c r="L342" i="1"/>
  <c r="K342" i="1"/>
  <c r="H342" i="1"/>
  <c r="O341" i="1"/>
  <c r="L341" i="1"/>
  <c r="K341" i="1"/>
  <c r="H341" i="1"/>
  <c r="O340" i="1"/>
  <c r="L340" i="1"/>
  <c r="K340" i="1"/>
  <c r="H340" i="1"/>
  <c r="O339" i="1"/>
  <c r="L339" i="1"/>
  <c r="K339" i="1"/>
  <c r="H339" i="1"/>
  <c r="O338" i="1"/>
  <c r="L338" i="1"/>
  <c r="K338" i="1"/>
  <c r="H338" i="1"/>
  <c r="O337" i="1"/>
  <c r="L337" i="1"/>
  <c r="K337" i="1"/>
  <c r="H337" i="1"/>
  <c r="O336" i="1"/>
  <c r="L336" i="1"/>
  <c r="K336" i="1"/>
  <c r="H336" i="1"/>
  <c r="O335" i="1"/>
  <c r="L335" i="1"/>
  <c r="K335" i="1"/>
  <c r="H335" i="1"/>
  <c r="O334" i="1"/>
  <c r="L334" i="1"/>
  <c r="K334" i="1"/>
  <c r="H334" i="1"/>
  <c r="O333" i="1"/>
  <c r="L333" i="1"/>
  <c r="K333" i="1"/>
  <c r="H333" i="1"/>
  <c r="O332" i="1"/>
  <c r="L332" i="1"/>
  <c r="K332" i="1"/>
  <c r="H332" i="1"/>
  <c r="O331" i="1"/>
  <c r="L331" i="1"/>
  <c r="K331" i="1"/>
  <c r="H331" i="1"/>
  <c r="O330" i="1"/>
  <c r="L330" i="1"/>
  <c r="K330" i="1"/>
  <c r="H330" i="1"/>
  <c r="O329" i="1"/>
  <c r="L329" i="1"/>
  <c r="K329" i="1"/>
  <c r="H329" i="1"/>
  <c r="O328" i="1"/>
  <c r="L328" i="1"/>
  <c r="K328" i="1"/>
  <c r="H328" i="1"/>
  <c r="O327" i="1"/>
  <c r="L327" i="1"/>
  <c r="K327" i="1"/>
  <c r="H327" i="1"/>
  <c r="O326" i="1"/>
  <c r="L326" i="1"/>
  <c r="K326" i="1"/>
  <c r="H326" i="1"/>
  <c r="O325" i="1"/>
  <c r="L325" i="1"/>
  <c r="K325" i="1"/>
  <c r="H325" i="1"/>
  <c r="O324" i="1"/>
  <c r="L324" i="1"/>
  <c r="K324" i="1"/>
  <c r="H324" i="1"/>
  <c r="O323" i="1"/>
  <c r="L323" i="1"/>
  <c r="K323" i="1"/>
  <c r="H323" i="1"/>
  <c r="O322" i="1"/>
  <c r="L322" i="1"/>
  <c r="K322" i="1"/>
  <c r="H322" i="1"/>
  <c r="O321" i="1"/>
  <c r="L321" i="1"/>
  <c r="K321" i="1"/>
  <c r="H321" i="1"/>
  <c r="O320" i="1"/>
  <c r="L320" i="1"/>
  <c r="K320" i="1"/>
  <c r="H320" i="1"/>
  <c r="O319" i="1"/>
  <c r="L319" i="1"/>
  <c r="K319" i="1"/>
  <c r="H319" i="1"/>
  <c r="O318" i="1"/>
  <c r="L318" i="1"/>
  <c r="K318" i="1"/>
  <c r="H318" i="1"/>
  <c r="O317" i="1"/>
  <c r="L317" i="1"/>
  <c r="K317" i="1"/>
  <c r="H317" i="1"/>
  <c r="O316" i="1"/>
  <c r="L316" i="1"/>
  <c r="K316" i="1"/>
  <c r="H316" i="1"/>
  <c r="O315" i="1"/>
  <c r="L315" i="1"/>
  <c r="K315" i="1"/>
  <c r="H315" i="1"/>
  <c r="O314" i="1"/>
  <c r="L314" i="1"/>
  <c r="K314" i="1"/>
  <c r="H314" i="1"/>
  <c r="O313" i="1"/>
  <c r="L313" i="1"/>
  <c r="K313" i="1"/>
  <c r="H313" i="1"/>
  <c r="O312" i="1"/>
  <c r="L312" i="1"/>
  <c r="K312" i="1"/>
  <c r="H312" i="1"/>
  <c r="O311" i="1"/>
  <c r="L311" i="1"/>
  <c r="K311" i="1"/>
  <c r="H311" i="1"/>
  <c r="O310" i="1"/>
  <c r="L310" i="1"/>
  <c r="K310" i="1"/>
  <c r="H310" i="1"/>
  <c r="O309" i="1"/>
  <c r="L309" i="1"/>
  <c r="K309" i="1"/>
  <c r="H309" i="1"/>
  <c r="O308" i="1"/>
  <c r="L308" i="1"/>
  <c r="K308" i="1"/>
  <c r="H308" i="1"/>
  <c r="O307" i="1"/>
  <c r="L307" i="1"/>
  <c r="K307" i="1"/>
  <c r="H307" i="1"/>
  <c r="O306" i="1"/>
  <c r="L306" i="1"/>
  <c r="K306" i="1"/>
  <c r="H306" i="1"/>
  <c r="O305" i="1"/>
  <c r="L305" i="1"/>
  <c r="K305" i="1"/>
  <c r="H305" i="1"/>
  <c r="O304" i="1"/>
  <c r="L304" i="1"/>
  <c r="K304" i="1"/>
  <c r="H304" i="1"/>
  <c r="O303" i="1"/>
  <c r="L303" i="1"/>
  <c r="K303" i="1"/>
  <c r="H303" i="1"/>
  <c r="O302" i="1"/>
  <c r="L302" i="1"/>
  <c r="K302" i="1"/>
  <c r="H302" i="1"/>
  <c r="O301" i="1"/>
  <c r="L301" i="1"/>
  <c r="K301" i="1"/>
  <c r="H301" i="1"/>
  <c r="O300" i="1"/>
  <c r="L300" i="1"/>
  <c r="K300" i="1"/>
  <c r="H300" i="1"/>
  <c r="O299" i="1"/>
  <c r="L299" i="1"/>
  <c r="K299" i="1"/>
  <c r="H299" i="1"/>
  <c r="O298" i="1"/>
  <c r="L298" i="1"/>
  <c r="K298" i="1"/>
  <c r="H298" i="1"/>
  <c r="O297" i="1"/>
  <c r="L297" i="1"/>
  <c r="K297" i="1"/>
  <c r="H297" i="1"/>
  <c r="O296" i="1"/>
  <c r="L296" i="1"/>
  <c r="K296" i="1"/>
  <c r="H296" i="1"/>
  <c r="O295" i="1"/>
  <c r="L295" i="1"/>
  <c r="K295" i="1"/>
  <c r="H295" i="1"/>
  <c r="O294" i="1"/>
  <c r="L294" i="1"/>
  <c r="K294" i="1"/>
  <c r="H294" i="1"/>
  <c r="O293" i="1"/>
  <c r="L293" i="1"/>
  <c r="K293" i="1"/>
  <c r="H293" i="1"/>
  <c r="O292" i="1"/>
  <c r="L292" i="1"/>
  <c r="K292" i="1"/>
  <c r="H292" i="1"/>
  <c r="O291" i="1"/>
  <c r="L291" i="1"/>
  <c r="K291" i="1"/>
  <c r="H291" i="1"/>
  <c r="O290" i="1"/>
  <c r="L290" i="1"/>
  <c r="K290" i="1"/>
  <c r="H290" i="1"/>
  <c r="O289" i="1"/>
  <c r="L289" i="1"/>
  <c r="K289" i="1"/>
  <c r="H289" i="1"/>
  <c r="O288" i="1"/>
  <c r="L288" i="1"/>
  <c r="K288" i="1"/>
  <c r="H288" i="1"/>
  <c r="O287" i="1"/>
  <c r="L287" i="1"/>
  <c r="K287" i="1"/>
  <c r="H287" i="1"/>
  <c r="O286" i="1"/>
  <c r="L286" i="1"/>
  <c r="K286" i="1"/>
  <c r="H286" i="1"/>
  <c r="O285" i="1"/>
  <c r="L285" i="1"/>
  <c r="K285" i="1"/>
  <c r="H285" i="1"/>
  <c r="O284" i="1"/>
  <c r="L284" i="1"/>
  <c r="K284" i="1"/>
  <c r="H284" i="1"/>
  <c r="O283" i="1"/>
  <c r="L283" i="1"/>
  <c r="K283" i="1"/>
  <c r="H283" i="1"/>
  <c r="O282" i="1"/>
  <c r="L282" i="1"/>
  <c r="K282" i="1"/>
  <c r="H282" i="1"/>
  <c r="O281" i="1"/>
  <c r="L281" i="1"/>
  <c r="K281" i="1"/>
  <c r="H281" i="1"/>
  <c r="O280" i="1"/>
  <c r="L280" i="1"/>
  <c r="K280" i="1"/>
  <c r="H280" i="1"/>
  <c r="O279" i="1"/>
  <c r="L279" i="1"/>
  <c r="K279" i="1"/>
  <c r="H279" i="1"/>
  <c r="O278" i="1"/>
  <c r="L278" i="1"/>
  <c r="K278" i="1"/>
  <c r="H278" i="1"/>
  <c r="O277" i="1"/>
  <c r="L277" i="1"/>
  <c r="K277" i="1"/>
  <c r="H277" i="1"/>
  <c r="O276" i="1"/>
  <c r="L276" i="1"/>
  <c r="K276" i="1"/>
  <c r="H276" i="1"/>
  <c r="O275" i="1"/>
  <c r="L275" i="1"/>
  <c r="K275" i="1"/>
  <c r="H275" i="1"/>
  <c r="O274" i="1"/>
  <c r="L274" i="1"/>
  <c r="K274" i="1"/>
  <c r="H274" i="1"/>
  <c r="O273" i="1"/>
  <c r="L273" i="1"/>
  <c r="K273" i="1"/>
  <c r="H273" i="1"/>
  <c r="O272" i="1"/>
  <c r="L272" i="1"/>
  <c r="K272" i="1"/>
  <c r="H272" i="1"/>
  <c r="O271" i="1"/>
  <c r="L271" i="1"/>
  <c r="K271" i="1"/>
  <c r="H271" i="1"/>
  <c r="O270" i="1"/>
  <c r="L270" i="1"/>
  <c r="K270" i="1"/>
  <c r="H270" i="1"/>
  <c r="O269" i="1"/>
  <c r="L269" i="1"/>
  <c r="K269" i="1"/>
  <c r="H269" i="1"/>
  <c r="O268" i="1"/>
  <c r="L268" i="1"/>
  <c r="K268" i="1"/>
  <c r="H268" i="1"/>
  <c r="O267" i="1"/>
  <c r="L267" i="1"/>
  <c r="K267" i="1"/>
  <c r="H267" i="1"/>
  <c r="O266" i="1"/>
  <c r="L266" i="1"/>
  <c r="K266" i="1"/>
  <c r="H266" i="1"/>
  <c r="O265" i="1"/>
  <c r="L265" i="1"/>
  <c r="K265" i="1"/>
  <c r="H265" i="1"/>
  <c r="O264" i="1"/>
  <c r="L264" i="1"/>
  <c r="K264" i="1"/>
  <c r="H264" i="1"/>
  <c r="O263" i="1"/>
  <c r="L263" i="1"/>
  <c r="K263" i="1"/>
  <c r="H263" i="1"/>
  <c r="O262" i="1"/>
  <c r="L262" i="1"/>
  <c r="K262" i="1"/>
  <c r="H262" i="1"/>
  <c r="O261" i="1"/>
  <c r="L261" i="1"/>
  <c r="K261" i="1"/>
  <c r="H261" i="1"/>
  <c r="O260" i="1"/>
  <c r="L260" i="1"/>
  <c r="K260" i="1"/>
  <c r="H260" i="1"/>
  <c r="O259" i="1"/>
  <c r="L259" i="1"/>
  <c r="K259" i="1"/>
  <c r="H259" i="1"/>
  <c r="O258" i="1"/>
  <c r="L258" i="1"/>
  <c r="K258" i="1"/>
  <c r="H258" i="1"/>
  <c r="O257" i="1"/>
  <c r="L257" i="1"/>
  <c r="K257" i="1"/>
  <c r="H257" i="1"/>
  <c r="O256" i="1"/>
  <c r="L256" i="1"/>
  <c r="K256" i="1"/>
  <c r="H256" i="1"/>
  <c r="O255" i="1"/>
  <c r="L255" i="1"/>
  <c r="K255" i="1"/>
  <c r="H255" i="1"/>
  <c r="O254" i="1"/>
  <c r="L254" i="1"/>
  <c r="K254" i="1"/>
  <c r="H254" i="1"/>
  <c r="O253" i="1"/>
  <c r="L253" i="1"/>
  <c r="K253" i="1"/>
  <c r="H253" i="1"/>
  <c r="O252" i="1"/>
  <c r="L252" i="1"/>
  <c r="K252" i="1"/>
  <c r="H252" i="1"/>
  <c r="O251" i="1"/>
  <c r="L251" i="1"/>
  <c r="K251" i="1"/>
  <c r="H251" i="1"/>
  <c r="O250" i="1"/>
  <c r="L250" i="1"/>
  <c r="K250" i="1"/>
  <c r="H250" i="1"/>
  <c r="O249" i="1"/>
  <c r="L249" i="1"/>
  <c r="K249" i="1"/>
  <c r="H249" i="1"/>
  <c r="O248" i="1"/>
  <c r="L248" i="1"/>
  <c r="K248" i="1"/>
  <c r="H248" i="1"/>
  <c r="O247" i="1"/>
  <c r="L247" i="1"/>
  <c r="K247" i="1"/>
  <c r="H247" i="1"/>
  <c r="O246" i="1"/>
  <c r="L246" i="1"/>
  <c r="K246" i="1"/>
  <c r="H246" i="1"/>
  <c r="O245" i="1"/>
  <c r="L245" i="1"/>
  <c r="K245" i="1"/>
  <c r="H245" i="1"/>
  <c r="O244" i="1"/>
  <c r="L244" i="1"/>
  <c r="K244" i="1"/>
  <c r="H244" i="1"/>
  <c r="O243" i="1"/>
  <c r="L243" i="1"/>
  <c r="K243" i="1"/>
  <c r="H243" i="1"/>
  <c r="O242" i="1"/>
  <c r="L242" i="1"/>
  <c r="K242" i="1"/>
  <c r="H242" i="1"/>
  <c r="O241" i="1"/>
  <c r="L241" i="1"/>
  <c r="K241" i="1"/>
  <c r="H241" i="1"/>
  <c r="O240" i="1"/>
  <c r="L240" i="1"/>
  <c r="K240" i="1"/>
  <c r="H240" i="1"/>
  <c r="O239" i="1"/>
  <c r="L239" i="1"/>
  <c r="K239" i="1"/>
  <c r="H239" i="1"/>
  <c r="O238" i="1"/>
  <c r="L238" i="1"/>
  <c r="K238" i="1"/>
  <c r="H238" i="1"/>
  <c r="O237" i="1"/>
  <c r="L237" i="1"/>
  <c r="K237" i="1"/>
  <c r="H237" i="1"/>
  <c r="O236" i="1"/>
  <c r="L236" i="1"/>
  <c r="K236" i="1"/>
  <c r="H236" i="1"/>
  <c r="O235" i="1"/>
  <c r="L235" i="1"/>
  <c r="K235" i="1"/>
  <c r="H235" i="1"/>
  <c r="O234" i="1"/>
  <c r="L234" i="1"/>
  <c r="K234" i="1"/>
  <c r="H234" i="1"/>
  <c r="O233" i="1"/>
  <c r="L233" i="1"/>
  <c r="K233" i="1"/>
  <c r="H233" i="1"/>
  <c r="O232" i="1"/>
  <c r="L232" i="1"/>
  <c r="K232" i="1"/>
  <c r="H232" i="1"/>
  <c r="O231" i="1"/>
  <c r="L231" i="1"/>
  <c r="K231" i="1"/>
  <c r="H231" i="1"/>
  <c r="O230" i="1"/>
  <c r="L230" i="1"/>
  <c r="K230" i="1"/>
  <c r="H230" i="1"/>
  <c r="O229" i="1"/>
  <c r="L229" i="1"/>
  <c r="K229" i="1"/>
  <c r="H229" i="1"/>
  <c r="O228" i="1"/>
  <c r="L228" i="1"/>
  <c r="K228" i="1"/>
  <c r="H228" i="1"/>
  <c r="O227" i="1"/>
  <c r="L227" i="1"/>
  <c r="K227" i="1"/>
  <c r="H227" i="1"/>
  <c r="O226" i="1"/>
  <c r="L226" i="1"/>
  <c r="K226" i="1"/>
  <c r="H226" i="1"/>
  <c r="O225" i="1"/>
  <c r="L225" i="1"/>
  <c r="K225" i="1"/>
  <c r="H225" i="1"/>
  <c r="O224" i="1"/>
  <c r="L224" i="1"/>
  <c r="K224" i="1"/>
  <c r="H224" i="1"/>
  <c r="O223" i="1"/>
  <c r="L223" i="1"/>
  <c r="K223" i="1"/>
  <c r="H223" i="1"/>
  <c r="O222" i="1"/>
  <c r="L222" i="1"/>
  <c r="K222" i="1"/>
  <c r="H222" i="1"/>
  <c r="O221" i="1"/>
  <c r="L221" i="1"/>
  <c r="K221" i="1"/>
  <c r="H221" i="1"/>
  <c r="O220" i="1"/>
  <c r="L220" i="1"/>
  <c r="K220" i="1"/>
  <c r="H220" i="1"/>
  <c r="O219" i="1"/>
  <c r="L219" i="1"/>
  <c r="K219" i="1"/>
  <c r="H219" i="1"/>
  <c r="O218" i="1"/>
  <c r="L218" i="1"/>
  <c r="K218" i="1"/>
  <c r="H218" i="1"/>
  <c r="O217" i="1"/>
  <c r="L217" i="1"/>
  <c r="K217" i="1"/>
  <c r="H217" i="1"/>
  <c r="O216" i="1"/>
  <c r="L216" i="1"/>
  <c r="K216" i="1"/>
  <c r="H216" i="1"/>
  <c r="O215" i="1"/>
  <c r="L215" i="1"/>
  <c r="K215" i="1"/>
  <c r="H215" i="1"/>
  <c r="O214" i="1"/>
  <c r="L214" i="1"/>
  <c r="K214" i="1"/>
  <c r="H214" i="1"/>
  <c r="O213" i="1"/>
  <c r="L213" i="1"/>
  <c r="K213" i="1"/>
  <c r="H213" i="1"/>
  <c r="O212" i="1"/>
  <c r="L212" i="1"/>
  <c r="K212" i="1"/>
  <c r="H212" i="1"/>
  <c r="O211" i="1"/>
  <c r="L211" i="1"/>
  <c r="K211" i="1"/>
  <c r="H211" i="1"/>
  <c r="O210" i="1"/>
  <c r="L210" i="1"/>
  <c r="K210" i="1"/>
  <c r="H210" i="1"/>
  <c r="O209" i="1"/>
  <c r="L209" i="1"/>
  <c r="K209" i="1"/>
  <c r="H209" i="1"/>
  <c r="O208" i="1"/>
  <c r="L208" i="1"/>
  <c r="K208" i="1"/>
  <c r="H208" i="1"/>
  <c r="O207" i="1"/>
  <c r="L207" i="1"/>
  <c r="K207" i="1"/>
  <c r="H207" i="1"/>
  <c r="O206" i="1"/>
  <c r="L206" i="1"/>
  <c r="K206" i="1"/>
  <c r="H206" i="1"/>
  <c r="O205" i="1"/>
  <c r="L205" i="1"/>
  <c r="K205" i="1"/>
  <c r="H205" i="1"/>
  <c r="O204" i="1"/>
  <c r="L204" i="1"/>
  <c r="K204" i="1"/>
  <c r="H204" i="1"/>
  <c r="O203" i="1"/>
  <c r="L203" i="1"/>
  <c r="K203" i="1"/>
  <c r="H203" i="1"/>
  <c r="O202" i="1"/>
  <c r="L202" i="1"/>
  <c r="K202" i="1"/>
  <c r="H202" i="1"/>
  <c r="O201" i="1"/>
  <c r="L201" i="1"/>
  <c r="K201" i="1"/>
  <c r="H201" i="1"/>
  <c r="O200" i="1"/>
  <c r="L200" i="1"/>
  <c r="K200" i="1"/>
  <c r="H200" i="1"/>
  <c r="O199" i="1"/>
  <c r="L199" i="1"/>
  <c r="K199" i="1"/>
  <c r="H199" i="1"/>
  <c r="O198" i="1"/>
  <c r="L198" i="1"/>
  <c r="K198" i="1"/>
  <c r="H198" i="1"/>
  <c r="O197" i="1"/>
  <c r="L197" i="1"/>
  <c r="K197" i="1"/>
  <c r="H197" i="1"/>
  <c r="O196" i="1"/>
  <c r="L196" i="1"/>
  <c r="K196" i="1"/>
  <c r="H196" i="1"/>
  <c r="O195" i="1"/>
  <c r="L195" i="1"/>
  <c r="K195" i="1"/>
  <c r="H195" i="1"/>
  <c r="O194" i="1"/>
  <c r="L194" i="1"/>
  <c r="K194" i="1"/>
  <c r="H194" i="1"/>
  <c r="O193" i="1"/>
  <c r="L193" i="1"/>
  <c r="K193" i="1"/>
  <c r="H193" i="1"/>
  <c r="O192" i="1"/>
  <c r="L192" i="1"/>
  <c r="K192" i="1"/>
  <c r="H192" i="1"/>
  <c r="O191" i="1"/>
  <c r="L191" i="1"/>
  <c r="K191" i="1"/>
  <c r="H191" i="1"/>
  <c r="O190" i="1"/>
  <c r="L190" i="1"/>
  <c r="K190" i="1"/>
  <c r="H190" i="1"/>
  <c r="O189" i="1"/>
  <c r="L189" i="1"/>
  <c r="K189" i="1"/>
  <c r="H189" i="1"/>
  <c r="O188" i="1"/>
  <c r="L188" i="1"/>
  <c r="K188" i="1"/>
  <c r="H188" i="1"/>
  <c r="O187" i="1"/>
  <c r="L187" i="1"/>
  <c r="K187" i="1"/>
  <c r="H187" i="1"/>
  <c r="O186" i="1"/>
  <c r="L186" i="1"/>
  <c r="K186" i="1"/>
  <c r="H186" i="1"/>
  <c r="O185" i="1"/>
  <c r="L185" i="1"/>
  <c r="K185" i="1"/>
  <c r="H185" i="1"/>
  <c r="O184" i="1"/>
  <c r="L184" i="1"/>
  <c r="K184" i="1"/>
  <c r="H184" i="1"/>
  <c r="O183" i="1"/>
  <c r="L183" i="1"/>
  <c r="K183" i="1"/>
  <c r="H183" i="1"/>
  <c r="O182" i="1"/>
  <c r="L182" i="1"/>
  <c r="K182" i="1"/>
  <c r="H182" i="1"/>
  <c r="O181" i="1"/>
  <c r="L181" i="1"/>
  <c r="K181" i="1"/>
  <c r="H181" i="1"/>
  <c r="O180" i="1"/>
  <c r="L180" i="1"/>
  <c r="K180" i="1"/>
  <c r="H180" i="1"/>
  <c r="O179" i="1"/>
  <c r="L179" i="1"/>
  <c r="K179" i="1"/>
  <c r="H179" i="1"/>
  <c r="O178" i="1"/>
  <c r="L178" i="1"/>
  <c r="K178" i="1"/>
  <c r="H178" i="1"/>
  <c r="O177" i="1"/>
  <c r="L177" i="1"/>
  <c r="K177" i="1"/>
  <c r="H177" i="1"/>
  <c r="O176" i="1"/>
  <c r="L176" i="1"/>
  <c r="K176" i="1"/>
  <c r="H176" i="1"/>
  <c r="O175" i="1"/>
  <c r="L175" i="1"/>
  <c r="K175" i="1"/>
  <c r="H175" i="1"/>
  <c r="O174" i="1"/>
  <c r="L174" i="1"/>
  <c r="K174" i="1"/>
  <c r="H174" i="1"/>
  <c r="O173" i="1"/>
  <c r="L173" i="1"/>
  <c r="K173" i="1"/>
  <c r="H173" i="1"/>
  <c r="O172" i="1"/>
  <c r="L172" i="1"/>
  <c r="K172" i="1"/>
  <c r="H172" i="1"/>
  <c r="O171" i="1"/>
  <c r="L171" i="1"/>
  <c r="K171" i="1"/>
  <c r="H171" i="1"/>
  <c r="O170" i="1"/>
  <c r="L170" i="1"/>
  <c r="K170" i="1"/>
  <c r="H170" i="1"/>
  <c r="O169" i="1"/>
  <c r="L169" i="1"/>
  <c r="K169" i="1"/>
  <c r="H169" i="1"/>
  <c r="O168" i="1"/>
  <c r="L168" i="1"/>
  <c r="K168" i="1"/>
  <c r="H168" i="1"/>
  <c r="O167" i="1"/>
  <c r="L167" i="1"/>
  <c r="K167" i="1"/>
  <c r="H167" i="1"/>
  <c r="O166" i="1"/>
  <c r="L166" i="1"/>
  <c r="K166" i="1"/>
  <c r="H166" i="1"/>
  <c r="O165" i="1"/>
  <c r="L165" i="1"/>
  <c r="K165" i="1"/>
  <c r="H165" i="1"/>
  <c r="O164" i="1"/>
  <c r="L164" i="1"/>
  <c r="K164" i="1"/>
  <c r="H164" i="1"/>
  <c r="O163" i="1"/>
  <c r="L163" i="1"/>
  <c r="K163" i="1"/>
  <c r="H163" i="1"/>
  <c r="O162" i="1"/>
  <c r="L162" i="1"/>
  <c r="K162" i="1"/>
  <c r="H162" i="1"/>
  <c r="O161" i="1"/>
  <c r="L161" i="1"/>
  <c r="K161" i="1"/>
  <c r="H161" i="1"/>
  <c r="O160" i="1"/>
  <c r="L160" i="1"/>
  <c r="K160" i="1"/>
  <c r="H160" i="1"/>
  <c r="O159" i="1"/>
  <c r="L159" i="1"/>
  <c r="K159" i="1"/>
  <c r="H159" i="1"/>
  <c r="O158" i="1"/>
  <c r="L158" i="1"/>
  <c r="K158" i="1"/>
  <c r="H158" i="1"/>
  <c r="O157" i="1"/>
  <c r="L157" i="1"/>
  <c r="K157" i="1"/>
  <c r="H157" i="1"/>
  <c r="O156" i="1"/>
  <c r="L156" i="1"/>
  <c r="K156" i="1"/>
  <c r="H156" i="1"/>
  <c r="O155" i="1"/>
  <c r="L155" i="1"/>
  <c r="K155" i="1"/>
  <c r="H155" i="1"/>
  <c r="O154" i="1"/>
  <c r="L154" i="1"/>
  <c r="K154" i="1"/>
  <c r="H154" i="1"/>
  <c r="O153" i="1"/>
  <c r="L153" i="1"/>
  <c r="K153" i="1"/>
  <c r="H153" i="1"/>
  <c r="O152" i="1"/>
  <c r="L152" i="1"/>
  <c r="K152" i="1"/>
  <c r="H152" i="1"/>
  <c r="O151" i="1"/>
  <c r="L151" i="1"/>
  <c r="K151" i="1"/>
  <c r="H151" i="1"/>
  <c r="O150" i="1"/>
  <c r="L150" i="1"/>
  <c r="K150" i="1"/>
  <c r="H150" i="1"/>
  <c r="O149" i="1"/>
  <c r="L149" i="1"/>
  <c r="K149" i="1"/>
  <c r="H149" i="1"/>
  <c r="O148" i="1"/>
  <c r="L148" i="1"/>
  <c r="K148" i="1"/>
  <c r="H148" i="1"/>
  <c r="O147" i="1"/>
  <c r="L147" i="1"/>
  <c r="K147" i="1"/>
  <c r="H147" i="1"/>
  <c r="O146" i="1"/>
  <c r="L146" i="1"/>
  <c r="K146" i="1"/>
  <c r="H146" i="1"/>
  <c r="O145" i="1"/>
  <c r="L145" i="1"/>
  <c r="K145" i="1"/>
  <c r="H145" i="1"/>
  <c r="O144" i="1"/>
  <c r="L144" i="1"/>
  <c r="K144" i="1"/>
  <c r="H144" i="1"/>
  <c r="O143" i="1"/>
  <c r="L143" i="1"/>
  <c r="K143" i="1"/>
  <c r="H143" i="1"/>
  <c r="O142" i="1"/>
  <c r="L142" i="1"/>
  <c r="K142" i="1"/>
  <c r="H142" i="1"/>
  <c r="O141" i="1"/>
  <c r="L141" i="1"/>
  <c r="K141" i="1"/>
  <c r="H141" i="1"/>
  <c r="O140" i="1"/>
  <c r="L140" i="1"/>
  <c r="K140" i="1"/>
  <c r="H140" i="1"/>
  <c r="O139" i="1"/>
  <c r="L139" i="1"/>
  <c r="K139" i="1"/>
  <c r="H139" i="1"/>
  <c r="O138" i="1"/>
  <c r="L138" i="1"/>
  <c r="K138" i="1"/>
  <c r="H138" i="1"/>
  <c r="O137" i="1"/>
  <c r="L137" i="1"/>
  <c r="K137" i="1"/>
  <c r="H137" i="1"/>
  <c r="O136" i="1"/>
  <c r="L136" i="1"/>
  <c r="K136" i="1"/>
  <c r="H136" i="1"/>
  <c r="O135" i="1"/>
  <c r="L135" i="1"/>
  <c r="K135" i="1"/>
  <c r="H135" i="1"/>
  <c r="O134" i="1"/>
  <c r="L134" i="1"/>
  <c r="K134" i="1"/>
  <c r="H134" i="1"/>
  <c r="O133" i="1"/>
  <c r="L133" i="1"/>
  <c r="K133" i="1"/>
  <c r="H133" i="1"/>
  <c r="O132" i="1"/>
  <c r="L132" i="1"/>
  <c r="K132" i="1"/>
  <c r="H132" i="1"/>
  <c r="O131" i="1"/>
  <c r="L131" i="1"/>
  <c r="K131" i="1"/>
  <c r="H131" i="1"/>
  <c r="O130" i="1"/>
  <c r="L130" i="1"/>
  <c r="K130" i="1"/>
  <c r="H130" i="1"/>
  <c r="O129" i="1"/>
  <c r="L129" i="1"/>
  <c r="K129" i="1"/>
  <c r="H129" i="1"/>
  <c r="O128" i="1"/>
  <c r="L128" i="1"/>
  <c r="K128" i="1"/>
  <c r="H128" i="1"/>
  <c r="O127" i="1"/>
  <c r="L127" i="1"/>
  <c r="K127" i="1"/>
  <c r="H127" i="1"/>
  <c r="O126" i="1"/>
  <c r="L126" i="1"/>
  <c r="K126" i="1"/>
  <c r="H126" i="1"/>
  <c r="O125" i="1"/>
  <c r="L125" i="1"/>
  <c r="K125" i="1"/>
  <c r="H125" i="1"/>
  <c r="O124" i="1"/>
  <c r="L124" i="1"/>
  <c r="K124" i="1"/>
  <c r="H124" i="1"/>
  <c r="O123" i="1"/>
  <c r="L123" i="1"/>
  <c r="K123" i="1"/>
  <c r="H123" i="1"/>
  <c r="O122" i="1"/>
  <c r="L122" i="1"/>
  <c r="K122" i="1"/>
  <c r="H122" i="1"/>
  <c r="O121" i="1"/>
  <c r="L121" i="1"/>
  <c r="K121" i="1"/>
  <c r="H121" i="1"/>
  <c r="O120" i="1"/>
  <c r="L120" i="1"/>
  <c r="K120" i="1"/>
  <c r="H120" i="1"/>
  <c r="O119" i="1"/>
  <c r="L119" i="1"/>
  <c r="K119" i="1"/>
  <c r="H119" i="1"/>
  <c r="O118" i="1"/>
  <c r="L118" i="1"/>
  <c r="K118" i="1"/>
  <c r="H118" i="1"/>
  <c r="O117" i="1"/>
  <c r="L117" i="1"/>
  <c r="K117" i="1"/>
  <c r="H117" i="1"/>
  <c r="O116" i="1"/>
  <c r="L116" i="1"/>
  <c r="K116" i="1"/>
  <c r="H116" i="1"/>
  <c r="O115" i="1"/>
  <c r="L115" i="1"/>
  <c r="K115" i="1"/>
  <c r="H115" i="1"/>
  <c r="O114" i="1"/>
  <c r="L114" i="1"/>
  <c r="K114" i="1"/>
  <c r="H114" i="1"/>
  <c r="O113" i="1"/>
  <c r="L113" i="1"/>
  <c r="K113" i="1"/>
  <c r="H113" i="1"/>
  <c r="O112" i="1"/>
  <c r="L112" i="1"/>
  <c r="K112" i="1"/>
  <c r="H112" i="1"/>
  <c r="O111" i="1"/>
  <c r="L111" i="1"/>
  <c r="K111" i="1"/>
  <c r="H111" i="1"/>
  <c r="O110" i="1"/>
  <c r="L110" i="1"/>
  <c r="K110" i="1"/>
  <c r="H110" i="1"/>
  <c r="O109" i="1"/>
  <c r="L109" i="1"/>
  <c r="K109" i="1"/>
  <c r="H109" i="1"/>
  <c r="O108" i="1"/>
  <c r="L108" i="1"/>
  <c r="K108" i="1"/>
  <c r="H108" i="1"/>
  <c r="O107" i="1"/>
  <c r="L107" i="1"/>
  <c r="K107" i="1"/>
  <c r="H107" i="1"/>
  <c r="O106" i="1"/>
  <c r="L106" i="1"/>
  <c r="K106" i="1"/>
  <c r="H106" i="1"/>
  <c r="O105" i="1"/>
  <c r="L105" i="1"/>
  <c r="K105" i="1"/>
  <c r="H105" i="1"/>
  <c r="O104" i="1"/>
  <c r="L104" i="1"/>
  <c r="K104" i="1"/>
  <c r="H104" i="1"/>
  <c r="O103" i="1"/>
  <c r="L103" i="1"/>
  <c r="K103" i="1"/>
  <c r="H103" i="1"/>
  <c r="O102" i="1"/>
  <c r="L102" i="1"/>
  <c r="K102" i="1"/>
  <c r="H102" i="1"/>
  <c r="O101" i="1"/>
  <c r="L101" i="1"/>
  <c r="K101" i="1"/>
  <c r="H101" i="1"/>
  <c r="O100" i="1"/>
  <c r="L100" i="1"/>
  <c r="K100" i="1"/>
  <c r="H100" i="1"/>
  <c r="O99" i="1"/>
  <c r="L99" i="1"/>
  <c r="K99" i="1"/>
  <c r="H99" i="1"/>
  <c r="O98" i="1"/>
  <c r="L98" i="1"/>
  <c r="K98" i="1"/>
  <c r="H98" i="1"/>
  <c r="O97" i="1"/>
  <c r="L97" i="1"/>
  <c r="K97" i="1"/>
  <c r="H97" i="1"/>
  <c r="O96" i="1"/>
  <c r="L96" i="1"/>
  <c r="K96" i="1"/>
  <c r="H96" i="1"/>
  <c r="O95" i="1"/>
  <c r="L95" i="1"/>
  <c r="K95" i="1"/>
  <c r="H95" i="1"/>
  <c r="O94" i="1"/>
  <c r="L94" i="1"/>
  <c r="K94" i="1"/>
  <c r="H94" i="1"/>
  <c r="O93" i="1"/>
  <c r="L93" i="1"/>
  <c r="K93" i="1"/>
  <c r="H93" i="1"/>
  <c r="O92" i="1"/>
  <c r="L92" i="1"/>
  <c r="K92" i="1"/>
  <c r="H92" i="1"/>
  <c r="O91" i="1"/>
  <c r="L91" i="1"/>
  <c r="K91" i="1"/>
  <c r="H91" i="1"/>
  <c r="O90" i="1"/>
  <c r="L90" i="1"/>
  <c r="K90" i="1"/>
  <c r="H90" i="1"/>
  <c r="O89" i="1"/>
  <c r="L89" i="1"/>
  <c r="K89" i="1"/>
  <c r="H89" i="1"/>
  <c r="O88" i="1"/>
  <c r="L88" i="1"/>
  <c r="K88" i="1"/>
  <c r="H88" i="1"/>
  <c r="O87" i="1"/>
  <c r="L87" i="1"/>
  <c r="K87" i="1"/>
  <c r="H87" i="1"/>
  <c r="O86" i="1"/>
  <c r="L86" i="1"/>
  <c r="K86" i="1"/>
  <c r="H86" i="1"/>
  <c r="O85" i="1"/>
  <c r="L85" i="1"/>
  <c r="K85" i="1"/>
  <c r="H85" i="1"/>
  <c r="O84" i="1"/>
  <c r="L84" i="1"/>
  <c r="K84" i="1"/>
  <c r="H84" i="1"/>
  <c r="O83" i="1"/>
  <c r="L83" i="1"/>
  <c r="K83" i="1"/>
  <c r="H83" i="1"/>
  <c r="O82" i="1"/>
  <c r="L82" i="1"/>
  <c r="K82" i="1"/>
  <c r="H82" i="1"/>
  <c r="O81" i="1"/>
  <c r="L81" i="1"/>
  <c r="K81" i="1"/>
  <c r="H81" i="1"/>
  <c r="O80" i="1"/>
  <c r="L80" i="1"/>
  <c r="K80" i="1"/>
  <c r="H80" i="1"/>
  <c r="O79" i="1"/>
  <c r="L79" i="1"/>
  <c r="K79" i="1"/>
  <c r="H79" i="1"/>
  <c r="O78" i="1"/>
  <c r="L78" i="1"/>
  <c r="K78" i="1"/>
  <c r="H78" i="1"/>
  <c r="O77" i="1"/>
  <c r="L77" i="1"/>
  <c r="K77" i="1"/>
  <c r="H77" i="1"/>
  <c r="O76" i="1"/>
  <c r="L76" i="1"/>
  <c r="K76" i="1"/>
  <c r="H76" i="1"/>
  <c r="O75" i="1"/>
  <c r="L75" i="1"/>
  <c r="K75" i="1"/>
  <c r="H75" i="1"/>
  <c r="O74" i="1"/>
  <c r="L74" i="1"/>
  <c r="K74" i="1"/>
  <c r="H74" i="1"/>
  <c r="O73" i="1"/>
  <c r="L73" i="1"/>
  <c r="K73" i="1"/>
  <c r="H73" i="1"/>
  <c r="O72" i="1"/>
  <c r="L72" i="1"/>
  <c r="K72" i="1"/>
  <c r="H72" i="1"/>
  <c r="O71" i="1"/>
  <c r="L71" i="1"/>
  <c r="K71" i="1"/>
  <c r="H71" i="1"/>
  <c r="O70" i="1"/>
  <c r="L70" i="1"/>
  <c r="K70" i="1"/>
  <c r="H70" i="1"/>
  <c r="O69" i="1"/>
  <c r="L69" i="1"/>
  <c r="K69" i="1"/>
  <c r="H69" i="1"/>
  <c r="O68" i="1"/>
  <c r="L68" i="1"/>
  <c r="K68" i="1"/>
  <c r="H68" i="1"/>
  <c r="O67" i="1"/>
  <c r="L67" i="1"/>
  <c r="K67" i="1"/>
  <c r="H67" i="1"/>
  <c r="O66" i="1"/>
  <c r="L66" i="1"/>
  <c r="K66" i="1"/>
  <c r="H66" i="1"/>
  <c r="O65" i="1"/>
  <c r="L65" i="1"/>
  <c r="K65" i="1"/>
  <c r="H65" i="1"/>
  <c r="O64" i="1"/>
  <c r="L64" i="1"/>
  <c r="K64" i="1"/>
  <c r="H64" i="1"/>
  <c r="O63" i="1"/>
  <c r="L63" i="1"/>
  <c r="K63" i="1"/>
  <c r="H63" i="1"/>
  <c r="O62" i="1"/>
  <c r="L62" i="1"/>
  <c r="K62" i="1"/>
  <c r="H62" i="1"/>
  <c r="O61" i="1"/>
  <c r="L61" i="1"/>
  <c r="K61" i="1"/>
  <c r="H61" i="1"/>
  <c r="O60" i="1"/>
  <c r="L60" i="1"/>
  <c r="K60" i="1"/>
  <c r="H60" i="1"/>
  <c r="O59" i="1"/>
  <c r="L59" i="1"/>
  <c r="K59" i="1"/>
  <c r="H59" i="1"/>
  <c r="O58" i="1"/>
  <c r="L58" i="1"/>
  <c r="K58" i="1"/>
  <c r="H58" i="1"/>
  <c r="O57" i="1"/>
  <c r="L57" i="1"/>
  <c r="K57" i="1"/>
  <c r="H57" i="1"/>
  <c r="O56" i="1"/>
  <c r="L56" i="1"/>
  <c r="K56" i="1"/>
  <c r="H56" i="1"/>
  <c r="O55" i="1"/>
  <c r="L55" i="1"/>
  <c r="K55" i="1"/>
  <c r="H55" i="1"/>
  <c r="O54" i="1"/>
  <c r="L54" i="1"/>
  <c r="K54" i="1"/>
  <c r="H54" i="1"/>
  <c r="O53" i="1"/>
  <c r="L53" i="1"/>
  <c r="K53" i="1"/>
  <c r="H53" i="1"/>
  <c r="O52" i="1"/>
  <c r="L52" i="1"/>
  <c r="K52" i="1"/>
  <c r="H52" i="1"/>
  <c r="O51" i="1"/>
  <c r="L51" i="1"/>
  <c r="K51" i="1"/>
  <c r="H51" i="1"/>
  <c r="O50" i="1"/>
  <c r="L50" i="1"/>
  <c r="K50" i="1"/>
  <c r="H50" i="1"/>
  <c r="O49" i="1"/>
  <c r="L49" i="1"/>
  <c r="K49" i="1"/>
  <c r="H49" i="1"/>
  <c r="O48" i="1"/>
  <c r="L48" i="1"/>
  <c r="K48" i="1"/>
  <c r="H48" i="1"/>
  <c r="O47" i="1"/>
  <c r="L47" i="1"/>
  <c r="K47" i="1"/>
  <c r="H47" i="1"/>
  <c r="O46" i="1"/>
  <c r="L46" i="1"/>
  <c r="K46" i="1"/>
  <c r="H46" i="1"/>
  <c r="O45" i="1"/>
  <c r="L45" i="1"/>
  <c r="K45" i="1"/>
  <c r="H45" i="1"/>
  <c r="O44" i="1"/>
  <c r="L44" i="1"/>
  <c r="K44" i="1"/>
  <c r="H44" i="1"/>
  <c r="O43" i="1"/>
  <c r="L43" i="1"/>
  <c r="K43" i="1"/>
  <c r="H43" i="1"/>
  <c r="O42" i="1"/>
  <c r="L42" i="1"/>
  <c r="K42" i="1"/>
  <c r="H42" i="1"/>
  <c r="O41" i="1"/>
  <c r="L41" i="1"/>
  <c r="K41" i="1"/>
  <c r="H41" i="1"/>
  <c r="O40" i="1"/>
  <c r="L40" i="1"/>
  <c r="K40" i="1"/>
  <c r="H40" i="1"/>
  <c r="O39" i="1"/>
  <c r="L39" i="1"/>
  <c r="K39" i="1"/>
  <c r="H39" i="1"/>
  <c r="O38" i="1"/>
  <c r="L38" i="1"/>
  <c r="K38" i="1"/>
  <c r="H38" i="1"/>
  <c r="O37" i="1"/>
  <c r="L37" i="1"/>
  <c r="K37" i="1"/>
  <c r="H37" i="1"/>
  <c r="O36" i="1"/>
  <c r="L36" i="1"/>
  <c r="K36" i="1"/>
  <c r="H36" i="1"/>
  <c r="O35" i="1"/>
  <c r="L35" i="1"/>
  <c r="K35" i="1"/>
  <c r="H35" i="1"/>
  <c r="O34" i="1"/>
  <c r="L34" i="1"/>
  <c r="K34" i="1"/>
  <c r="H34" i="1"/>
  <c r="O33" i="1"/>
  <c r="L33" i="1"/>
  <c r="K33" i="1"/>
  <c r="H33" i="1"/>
  <c r="O32" i="1"/>
  <c r="L32" i="1"/>
  <c r="K32" i="1"/>
  <c r="H32" i="1"/>
  <c r="O31" i="1"/>
  <c r="L31" i="1"/>
  <c r="K31" i="1"/>
  <c r="H31" i="1"/>
  <c r="O30" i="1"/>
  <c r="L30" i="1"/>
  <c r="K30" i="1"/>
  <c r="H30" i="1"/>
  <c r="O29" i="1"/>
  <c r="L29" i="1"/>
  <c r="K29" i="1"/>
  <c r="H29" i="1"/>
  <c r="O28" i="1"/>
  <c r="L28" i="1"/>
  <c r="K28" i="1"/>
  <c r="H28" i="1"/>
  <c r="O27" i="1"/>
  <c r="L27" i="1"/>
  <c r="K27" i="1"/>
  <c r="H27" i="1"/>
  <c r="O26" i="1"/>
  <c r="L26" i="1"/>
  <c r="K26" i="1"/>
  <c r="H26" i="1"/>
  <c r="O25" i="1"/>
  <c r="L25" i="1"/>
  <c r="K25" i="1"/>
  <c r="H25" i="1"/>
  <c r="O24" i="1"/>
  <c r="L24" i="1"/>
  <c r="K24" i="1"/>
  <c r="H24" i="1"/>
  <c r="O23" i="1"/>
  <c r="L23" i="1"/>
  <c r="K23" i="1"/>
  <c r="H23" i="1"/>
  <c r="O22" i="1"/>
  <c r="L22" i="1"/>
  <c r="K22" i="1"/>
  <c r="H22" i="1"/>
  <c r="O21" i="1"/>
  <c r="L21" i="1"/>
  <c r="K21" i="1"/>
  <c r="H21" i="1"/>
  <c r="O20" i="1"/>
  <c r="L20" i="1"/>
  <c r="K20" i="1"/>
  <c r="H20" i="1"/>
  <c r="O19" i="1"/>
  <c r="L19" i="1"/>
  <c r="K19" i="1"/>
  <c r="H19" i="1"/>
  <c r="O18" i="1"/>
  <c r="L18" i="1"/>
  <c r="K18" i="1"/>
  <c r="H18" i="1"/>
  <c r="O17" i="1"/>
  <c r="L17" i="1"/>
  <c r="K17" i="1"/>
  <c r="H17" i="1"/>
  <c r="O16" i="1"/>
  <c r="L16" i="1"/>
  <c r="K16" i="1"/>
  <c r="H16" i="1"/>
  <c r="O15" i="1"/>
  <c r="L15" i="1"/>
  <c r="K15" i="1"/>
  <c r="H15" i="1"/>
  <c r="O14" i="1"/>
  <c r="L14" i="1"/>
  <c r="K14" i="1"/>
  <c r="H14" i="1"/>
  <c r="O13" i="1"/>
  <c r="L13" i="1"/>
  <c r="K13" i="1"/>
  <c r="H13" i="1"/>
  <c r="O12" i="1"/>
  <c r="L12" i="1"/>
  <c r="K12" i="1"/>
  <c r="H12" i="1"/>
  <c r="O11" i="1"/>
  <c r="L11" i="1"/>
  <c r="K11" i="1"/>
  <c r="H11" i="1"/>
  <c r="O10" i="1"/>
  <c r="L10" i="1"/>
  <c r="K10" i="1"/>
  <c r="H10" i="1"/>
  <c r="O9" i="1"/>
  <c r="L9" i="1"/>
  <c r="K9" i="1"/>
  <c r="H9" i="1"/>
  <c r="O8" i="1"/>
  <c r="L8" i="1"/>
  <c r="K8" i="1"/>
  <c r="H8" i="1"/>
  <c r="O7" i="1"/>
  <c r="L7" i="1"/>
  <c r="K7" i="1"/>
  <c r="H7" i="1"/>
  <c r="O6" i="1"/>
  <c r="L6" i="1"/>
  <c r="K6" i="1"/>
  <c r="H6" i="1"/>
  <c r="O5" i="1"/>
  <c r="L5" i="1"/>
  <c r="K5" i="1"/>
  <c r="H5" i="1"/>
  <c r="O4" i="1"/>
  <c r="L4" i="1"/>
  <c r="K4" i="1"/>
  <c r="H4" i="1"/>
  <c r="O3" i="1"/>
  <c r="L3" i="1"/>
  <c r="K3" i="1"/>
  <c r="H3" i="1"/>
  <c r="O2" i="1"/>
  <c r="L2" i="1"/>
  <c r="K2" i="1"/>
  <c r="H2" i="1"/>
  <c r="B32" i="11"/>
  <c r="B31" i="11"/>
</calcChain>
</file>

<file path=xl/sharedStrings.xml><?xml version="1.0" encoding="utf-8"?>
<sst xmlns="http://schemas.openxmlformats.org/spreadsheetml/2006/main" count="2535" uniqueCount="1196">
  <si>
    <t>Player</t>
  </si>
  <si>
    <t>Pos</t>
  </si>
  <si>
    <t>Conf</t>
  </si>
  <si>
    <t>Age</t>
  </si>
  <si>
    <t>PTS</t>
  </si>
  <si>
    <t>SalaryUSD</t>
  </si>
  <si>
    <t>Player-additional</t>
  </si>
  <si>
    <t>Pos_Forward</t>
  </si>
  <si>
    <t>STL</t>
  </si>
  <si>
    <t>AstTovRatio</t>
  </si>
  <si>
    <t>Conf_East</t>
  </si>
  <si>
    <t>Conf_West</t>
  </si>
  <si>
    <t>BLK</t>
  </si>
  <si>
    <t>TRB</t>
  </si>
  <si>
    <t>Pos_Guard</t>
  </si>
  <si>
    <t>eFG</t>
  </si>
  <si>
    <t>Steven Adams</t>
  </si>
  <si>
    <t>Center</t>
  </si>
  <si>
    <t>West</t>
  </si>
  <si>
    <t>adamsst01</t>
  </si>
  <si>
    <t>Nikola Jokić</t>
  </si>
  <si>
    <t>jokicni01</t>
  </si>
  <si>
    <t>Kristaps Porziņģis</t>
  </si>
  <si>
    <t>porzikr01</t>
  </si>
  <si>
    <t>Karl-Anthony Towns</t>
  </si>
  <si>
    <t>townska01</t>
  </si>
  <si>
    <t>Rudy Gobert</t>
  </si>
  <si>
    <t>goberru01</t>
  </si>
  <si>
    <t>Al Horford</t>
  </si>
  <si>
    <t>horfoal01</t>
  </si>
  <si>
    <t>Jonas Valančiūnas</t>
  </si>
  <si>
    <t>valanjo01</t>
  </si>
  <si>
    <t>Christian Wood</t>
  </si>
  <si>
    <t>woodch01</t>
  </si>
  <si>
    <t>Jusuf Nurkić</t>
  </si>
  <si>
    <t>nurkiju01</t>
  </si>
  <si>
    <t>Dwight Powell</t>
  </si>
  <si>
    <t>poweldw01</t>
  </si>
  <si>
    <t>Deandre Ayton</t>
  </si>
  <si>
    <t>aytonde01</t>
  </si>
  <si>
    <t>Derrick Favors</t>
  </si>
  <si>
    <t>favorde01</t>
  </si>
  <si>
    <t>Serge Ibaka</t>
  </si>
  <si>
    <t>ibakase01</t>
  </si>
  <si>
    <t>Montrezl Harrell</t>
  </si>
  <si>
    <t>harremo01</t>
  </si>
  <si>
    <t>Dario Šarić</t>
  </si>
  <si>
    <t>saricda01</t>
  </si>
  <si>
    <t>James Wiseman</t>
  </si>
  <si>
    <t>wisemja01</t>
  </si>
  <si>
    <t>Jakob Poeltl</t>
  </si>
  <si>
    <t>poeltja01</t>
  </si>
  <si>
    <t>Jaren Jackson Jr.</t>
  </si>
  <si>
    <t>jacksja02</t>
  </si>
  <si>
    <t>Ivica Zubac</t>
  </si>
  <si>
    <t>zubaciv01</t>
  </si>
  <si>
    <t>Jaxson Hayes</t>
  </si>
  <si>
    <t>hayesja02</t>
  </si>
  <si>
    <t>Ed Davis</t>
  </si>
  <si>
    <t>davised01</t>
  </si>
  <si>
    <t>Richaun Holmes</t>
  </si>
  <si>
    <t>holmeri01</t>
  </si>
  <si>
    <t>Enes Freedom</t>
  </si>
  <si>
    <t>kanteen01</t>
  </si>
  <si>
    <t>Kevon Looney</t>
  </si>
  <si>
    <t>looneke01</t>
  </si>
  <si>
    <t>Willie Cauley-Stein</t>
  </si>
  <si>
    <t>caulewi01</t>
  </si>
  <si>
    <t>Boban Marjanović</t>
  </si>
  <si>
    <t>marjabo01</t>
  </si>
  <si>
    <t>Marc Gasol</t>
  </si>
  <si>
    <t>gasolma01</t>
  </si>
  <si>
    <t>Mike Muscala</t>
  </si>
  <si>
    <t>muscami01</t>
  </si>
  <si>
    <t>Udoka Azubuike</t>
  </si>
  <si>
    <t>azubuud01</t>
  </si>
  <si>
    <t>Harry Giles</t>
  </si>
  <si>
    <t>gilesha01</t>
  </si>
  <si>
    <t>Frank Kaminsky</t>
  </si>
  <si>
    <t>kaminfr01</t>
  </si>
  <si>
    <t>Willy Hernangómez</t>
  </si>
  <si>
    <t>hernawi01</t>
  </si>
  <si>
    <t>Hassan Whiteside</t>
  </si>
  <si>
    <t>whiteha01</t>
  </si>
  <si>
    <t>Drew Eubanks</t>
  </si>
  <si>
    <t>eubandr01</t>
  </si>
  <si>
    <t>Naz Reid</t>
  </si>
  <si>
    <t>reidna01</t>
  </si>
  <si>
    <t>Daniel Oturu</t>
  </si>
  <si>
    <t>oturuda01</t>
  </si>
  <si>
    <t>Chimezie Metu</t>
  </si>
  <si>
    <t>metuch01</t>
  </si>
  <si>
    <t>Killian Tillie</t>
  </si>
  <si>
    <t>tilliki02</t>
  </si>
  <si>
    <t>Moses Brown</t>
  </si>
  <si>
    <t>brownmo01</t>
  </si>
  <si>
    <t>Nikola Vučević</t>
  </si>
  <si>
    <t>Multiple Teams</t>
  </si>
  <si>
    <t>vucevni01</t>
  </si>
  <si>
    <t>LaMarcus Aldridge</t>
  </si>
  <si>
    <t>aldrila01</t>
  </si>
  <si>
    <t>Wendell Carter Jr.</t>
  </si>
  <si>
    <t>cartewe01</t>
  </si>
  <si>
    <t>Daniel Theis</t>
  </si>
  <si>
    <t>theisda01</t>
  </si>
  <si>
    <t>JaVale McGee</t>
  </si>
  <si>
    <t>mcgeeja01</t>
  </si>
  <si>
    <t>Jarrett Allen</t>
  </si>
  <si>
    <t>allenja01</t>
  </si>
  <si>
    <t>Tony Bradley</t>
  </si>
  <si>
    <t>bradlto01</t>
  </si>
  <si>
    <t>Khem Birch</t>
  </si>
  <si>
    <t>birchkh01</t>
  </si>
  <si>
    <t>Luke Kornet</t>
  </si>
  <si>
    <t>kornelu01</t>
  </si>
  <si>
    <t>Isaiah Hartenstein</t>
  </si>
  <si>
    <t>harteis01</t>
  </si>
  <si>
    <t>Daniel Gafford</t>
  </si>
  <si>
    <t>gaffoda01</t>
  </si>
  <si>
    <t>Alex Len</t>
  </si>
  <si>
    <t>lenal01</t>
  </si>
  <si>
    <t>Gorgui Dieng</t>
  </si>
  <si>
    <t>dienggo01</t>
  </si>
  <si>
    <t>Andre Drummond</t>
  </si>
  <si>
    <t>drumman01</t>
  </si>
  <si>
    <t>Norvel Pelle</t>
  </si>
  <si>
    <t>pelleno01</t>
  </si>
  <si>
    <t>Jordan Bell</t>
  </si>
  <si>
    <t>belljo01</t>
  </si>
  <si>
    <t>Damian Jones</t>
  </si>
  <si>
    <t>jonesda03</t>
  </si>
  <si>
    <t>DeMarcus Cousins</t>
  </si>
  <si>
    <t>couside01</t>
  </si>
  <si>
    <t>Moritz Wagner</t>
  </si>
  <si>
    <t>wagnemo01</t>
  </si>
  <si>
    <t>Joel Embiid</t>
  </si>
  <si>
    <t>East</t>
  </si>
  <si>
    <t>embiijo01</t>
  </si>
  <si>
    <t>Myles Turner</t>
  </si>
  <si>
    <t>turnemy01</t>
  </si>
  <si>
    <t>Clint Capela</t>
  </si>
  <si>
    <t>capelca01</t>
  </si>
  <si>
    <t>Cody Zeller</t>
  </si>
  <si>
    <t>zelleco01</t>
  </si>
  <si>
    <t>Brook Lopez</t>
  </si>
  <si>
    <t>lopezbr01</t>
  </si>
  <si>
    <t>DeAndre Jordan</t>
  </si>
  <si>
    <t>jordade01</t>
  </si>
  <si>
    <t>Meyers Leonard</t>
  </si>
  <si>
    <t>leoname01</t>
  </si>
  <si>
    <t>Tristan Thompson</t>
  </si>
  <si>
    <t>thomptr01</t>
  </si>
  <si>
    <t>Thomas Bryant</t>
  </si>
  <si>
    <t>bryanth01</t>
  </si>
  <si>
    <t>Mason Plumlee</t>
  </si>
  <si>
    <t>plumlma01</t>
  </si>
  <si>
    <t>Cristiano Felício</t>
  </si>
  <si>
    <t>feliccr01</t>
  </si>
  <si>
    <t>Robin Lopez</t>
  </si>
  <si>
    <t>lopezro01</t>
  </si>
  <si>
    <t>Aron Baynes</t>
  </si>
  <si>
    <t>baynear01</t>
  </si>
  <si>
    <t>Chris Boucher</t>
  </si>
  <si>
    <t>bouchch01</t>
  </si>
  <si>
    <t>Mo Bamba</t>
  </si>
  <si>
    <t>bambamo01</t>
  </si>
  <si>
    <t>Onyeka Okongwu</t>
  </si>
  <si>
    <t>okongon01</t>
  </si>
  <si>
    <t>Bam Adebayo</t>
  </si>
  <si>
    <t>adebaba01</t>
  </si>
  <si>
    <t>Nerlens Noel</t>
  </si>
  <si>
    <t>noelne01</t>
  </si>
  <si>
    <t>Bobby Portis</t>
  </si>
  <si>
    <t>portibo01</t>
  </si>
  <si>
    <t>Bismack Biyombo</t>
  </si>
  <si>
    <t>biyombi01</t>
  </si>
  <si>
    <t>Isaiah Stewart</t>
  </si>
  <si>
    <t>stewais01</t>
  </si>
  <si>
    <t>Goga Bitadze</t>
  </si>
  <si>
    <t>bitadgo01</t>
  </si>
  <si>
    <t>Robert Williams</t>
  </si>
  <si>
    <t>williro04</t>
  </si>
  <si>
    <t>Jahlil Okafor</t>
  </si>
  <si>
    <t>okafoja01</t>
  </si>
  <si>
    <t>Mitchell Robinson</t>
  </si>
  <si>
    <t>robinmi01</t>
  </si>
  <si>
    <t>Udonis Haslem</t>
  </si>
  <si>
    <t>hasleud01</t>
  </si>
  <si>
    <t>Thon Maker</t>
  </si>
  <si>
    <t>makerth01</t>
  </si>
  <si>
    <t>Dwight Howard</t>
  </si>
  <si>
    <t>howardw01</t>
  </si>
  <si>
    <t>Anžejs Pasečņiks</t>
  </si>
  <si>
    <t>pasecan01</t>
  </si>
  <si>
    <t>Nic Claxton</t>
  </si>
  <si>
    <t>claxtni01</t>
  </si>
  <si>
    <t>Bruno Fernando</t>
  </si>
  <si>
    <t>fernabr01</t>
  </si>
  <si>
    <t>Taj Gibson</t>
  </si>
  <si>
    <t>gibsota01</t>
  </si>
  <si>
    <t>Vernon Carey Jr.</t>
  </si>
  <si>
    <t>careyve01</t>
  </si>
  <si>
    <t>Noah Vonleh</t>
  </si>
  <si>
    <t>vonleno01</t>
  </si>
  <si>
    <t>Amida Brimah</t>
  </si>
  <si>
    <t>brimaam01</t>
  </si>
  <si>
    <t>Tacko Fall</t>
  </si>
  <si>
    <t>fallta01</t>
  </si>
  <si>
    <t>Dewayne Dedmon</t>
  </si>
  <si>
    <t>dedmode01</t>
  </si>
  <si>
    <t>Paul George</t>
  </si>
  <si>
    <t>Forward</t>
  </si>
  <si>
    <t>georgpa01</t>
  </si>
  <si>
    <t>Kawhi Leonard</t>
  </si>
  <si>
    <t>leonaka01</t>
  </si>
  <si>
    <t>Anthony Davis</t>
  </si>
  <si>
    <t>davisan02</t>
  </si>
  <si>
    <t>Andrew Wiggins</t>
  </si>
  <si>
    <t>wiggian01</t>
  </si>
  <si>
    <t>DeMar DeRozan</t>
  </si>
  <si>
    <t>derozde01</t>
  </si>
  <si>
    <t>Brandon Ingram</t>
  </si>
  <si>
    <t>ingrabr01</t>
  </si>
  <si>
    <t>Draymond Green</t>
  </si>
  <si>
    <t>greendr01</t>
  </si>
  <si>
    <t>Harrison Barnes</t>
  </si>
  <si>
    <t>barneha02</t>
  </si>
  <si>
    <t>Bojan Bogdanović</t>
  </si>
  <si>
    <t>bogdabo02</t>
  </si>
  <si>
    <t>Marcus Morris</t>
  </si>
  <si>
    <t>morrima03</t>
  </si>
  <si>
    <t>Rudy Gay</t>
  </si>
  <si>
    <t>gayru01</t>
  </si>
  <si>
    <t>Kelly Oubre Jr.</t>
  </si>
  <si>
    <t>oubreke01</t>
  </si>
  <si>
    <t>Will Barton</t>
  </si>
  <si>
    <t>bartowi01</t>
  </si>
  <si>
    <t>Justise Winslow</t>
  </si>
  <si>
    <t>winslju01</t>
  </si>
  <si>
    <t>Robert Covington</t>
  </si>
  <si>
    <t>covinro01</t>
  </si>
  <si>
    <t>Dillon Brooks</t>
  </si>
  <si>
    <t>brookdi01</t>
  </si>
  <si>
    <t>Joe Ingles</t>
  </si>
  <si>
    <t>inglejo01</t>
  </si>
  <si>
    <t>Zion Williamson</t>
  </si>
  <si>
    <t>willizi01</t>
  </si>
  <si>
    <t>Kyle Anderson</t>
  </si>
  <si>
    <t>anderky01</t>
  </si>
  <si>
    <t>Derrick Jones Jr.</t>
  </si>
  <si>
    <t>jonesde02</t>
  </si>
  <si>
    <t>Jae Crowder</t>
  </si>
  <si>
    <t>crowdja01</t>
  </si>
  <si>
    <t>Marvin Bagley III</t>
  </si>
  <si>
    <t>baglema01</t>
  </si>
  <si>
    <t>Royce O'Neale</t>
  </si>
  <si>
    <t>onealro01</t>
  </si>
  <si>
    <t>Maxi Kleber</t>
  </si>
  <si>
    <t>klebima01</t>
  </si>
  <si>
    <t>JaMychal Green</t>
  </si>
  <si>
    <t>greenja01</t>
  </si>
  <si>
    <t>Darius Miller</t>
  </si>
  <si>
    <t>milleda01</t>
  </si>
  <si>
    <t>Juancho Hernangómez</t>
  </si>
  <si>
    <t>hernaju01</t>
  </si>
  <si>
    <t>Trey Lyles</t>
  </si>
  <si>
    <t>lylestr01</t>
  </si>
  <si>
    <t>T.J. Leaf</t>
  </si>
  <si>
    <t>leaftj01</t>
  </si>
  <si>
    <t>Jalen Smith</t>
  </si>
  <si>
    <t>smithja04</t>
  </si>
  <si>
    <t>Mikal Bridges</t>
  </si>
  <si>
    <t>bridgmi01</t>
  </si>
  <si>
    <t>Devin Vassell</t>
  </si>
  <si>
    <t>vassede01</t>
  </si>
  <si>
    <t>Cameron Johnson</t>
  </si>
  <si>
    <t>johnsca02</t>
  </si>
  <si>
    <t>Dorian Finney-Smith</t>
  </si>
  <si>
    <t>finnedo01</t>
  </si>
  <si>
    <t>Gabriel Deck</t>
  </si>
  <si>
    <t>deckga01</t>
  </si>
  <si>
    <t>Jake Layman</t>
  </si>
  <si>
    <t>laymaja01</t>
  </si>
  <si>
    <t>Danuel House Jr.</t>
  </si>
  <si>
    <t>houseda01</t>
  </si>
  <si>
    <t>Kyle Kuzma</t>
  </si>
  <si>
    <t>kuzmaky01</t>
  </si>
  <si>
    <t>Michael Porter Jr.</t>
  </si>
  <si>
    <t>portemi01</t>
  </si>
  <si>
    <t>Josh Hart</t>
  </si>
  <si>
    <t>hartjo01</t>
  </si>
  <si>
    <t>Patrick Patterson</t>
  </si>
  <si>
    <t>pattepa01</t>
  </si>
  <si>
    <t>Aleksej Pokusevski</t>
  </si>
  <si>
    <t>pokusal01</t>
  </si>
  <si>
    <t>Luka Šamanić</t>
  </si>
  <si>
    <t>samanlu01</t>
  </si>
  <si>
    <t>Brandon Clarke</t>
  </si>
  <si>
    <t>clarkbr01</t>
  </si>
  <si>
    <t>Darius Bazley</t>
  </si>
  <si>
    <t>bazleda01</t>
  </si>
  <si>
    <t>Zeke Nnaji</t>
  </si>
  <si>
    <t>nnajize01</t>
  </si>
  <si>
    <t>Nassir Little</t>
  </si>
  <si>
    <t>littlna01</t>
  </si>
  <si>
    <t>Bol Bol</t>
  </si>
  <si>
    <t>bolbo01</t>
  </si>
  <si>
    <t>Keldon Johnson</t>
  </si>
  <si>
    <t>johnske04</t>
  </si>
  <si>
    <t>Kenrich Williams</t>
  </si>
  <si>
    <t>willike04</t>
  </si>
  <si>
    <t>Jaden McDaniels</t>
  </si>
  <si>
    <t>mcdanja02</t>
  </si>
  <si>
    <t>Jontay Porter</t>
  </si>
  <si>
    <t>portejo01</t>
  </si>
  <si>
    <t>Marquese Chriss</t>
  </si>
  <si>
    <t>chrisma01</t>
  </si>
  <si>
    <t>David Nwaba</t>
  </si>
  <si>
    <t>nwabada01</t>
  </si>
  <si>
    <t>Georges Niang</t>
  </si>
  <si>
    <t>niangge01</t>
  </si>
  <si>
    <t>Alfonzo McKinnie</t>
  </si>
  <si>
    <t>mckinal01</t>
  </si>
  <si>
    <t>Abdel Nader</t>
  </si>
  <si>
    <t>naderab01</t>
  </si>
  <si>
    <t>Keita Bates-Diop</t>
  </si>
  <si>
    <t>bateske01</t>
  </si>
  <si>
    <t>Jarred Vanderbilt</t>
  </si>
  <si>
    <t>vandeja01</t>
  </si>
  <si>
    <t>Jared Dudley</t>
  </si>
  <si>
    <t>dudleja01</t>
  </si>
  <si>
    <t>Glenn Robinson III</t>
  </si>
  <si>
    <t>robingl02</t>
  </si>
  <si>
    <t>Wenyen Gabriel</t>
  </si>
  <si>
    <t>gabriwe01</t>
  </si>
  <si>
    <t>Nicolas Batum</t>
  </si>
  <si>
    <t>batumni01</t>
  </si>
  <si>
    <t>Markieff Morris</t>
  </si>
  <si>
    <t>morrima02</t>
  </si>
  <si>
    <t>Carmelo Anthony</t>
  </si>
  <si>
    <t>anthoca01</t>
  </si>
  <si>
    <t>Kent Bazemore</t>
  </si>
  <si>
    <t>bazemke01</t>
  </si>
  <si>
    <t>Juwan Morgan</t>
  </si>
  <si>
    <t>morgaju01</t>
  </si>
  <si>
    <t>Alen Smailagić</t>
  </si>
  <si>
    <t>smailal01</t>
  </si>
  <si>
    <t>Vlatko Čančar</t>
  </si>
  <si>
    <t>cancavl01</t>
  </si>
  <si>
    <t>Justin James</t>
  </si>
  <si>
    <t>jamesju01</t>
  </si>
  <si>
    <t>Eric Paschall</t>
  </si>
  <si>
    <t>pascher01</t>
  </si>
  <si>
    <t>Isaiah Roby</t>
  </si>
  <si>
    <t>robyis01</t>
  </si>
  <si>
    <t>Robert Woodard II</t>
  </si>
  <si>
    <t>woodaro01</t>
  </si>
  <si>
    <t>Jae'Sean Tate</t>
  </si>
  <si>
    <t>tateja01</t>
  </si>
  <si>
    <t>James Nunnally</t>
  </si>
  <si>
    <t>nunnaja01</t>
  </si>
  <si>
    <t>Xavier Tillman Sr.</t>
  </si>
  <si>
    <t>tillmxa01</t>
  </si>
  <si>
    <t>Paul Millsap</t>
  </si>
  <si>
    <t>millspa01</t>
  </si>
  <si>
    <t>CJ Elleby</t>
  </si>
  <si>
    <t>ellebcj01</t>
  </si>
  <si>
    <t>Elijah Hughes</t>
  </si>
  <si>
    <t>hugheel01</t>
  </si>
  <si>
    <t>KJ Martin</t>
  </si>
  <si>
    <t>martike04</t>
  </si>
  <si>
    <t>Ersan İlyasova</t>
  </si>
  <si>
    <t>ilyaser01</t>
  </si>
  <si>
    <t>Tyler Bey</t>
  </si>
  <si>
    <t>beyty01</t>
  </si>
  <si>
    <t>Sean McDermott</t>
  </si>
  <si>
    <t>mcderse01</t>
  </si>
  <si>
    <t>Louis King</t>
  </si>
  <si>
    <t>kinglo02</t>
  </si>
  <si>
    <t>Keljin Blevins</t>
  </si>
  <si>
    <t>blevike01</t>
  </si>
  <si>
    <t>Devontae Cacok</t>
  </si>
  <si>
    <t>cacokde01</t>
  </si>
  <si>
    <t>Jarrell Brantley</t>
  </si>
  <si>
    <t>brantja01</t>
  </si>
  <si>
    <t>Kostas Antetokounmpo</t>
  </si>
  <si>
    <t>antetko01</t>
  </si>
  <si>
    <t>Jaylen Hoard</t>
  </si>
  <si>
    <t>hoardja01</t>
  </si>
  <si>
    <t>Anthony Lamb</t>
  </si>
  <si>
    <t>lamban01</t>
  </si>
  <si>
    <t>Josh Hall</t>
  </si>
  <si>
    <t>halljo01</t>
  </si>
  <si>
    <t>Naji Marshall</t>
  </si>
  <si>
    <t>marshna01</t>
  </si>
  <si>
    <t>Otto Porter Jr.</t>
  </si>
  <si>
    <t>porteot01</t>
  </si>
  <si>
    <t>Aaron Gordon</t>
  </si>
  <si>
    <t>gordoaa01</t>
  </si>
  <si>
    <t>Evan Fournier</t>
  </si>
  <si>
    <t>fournev01</t>
  </si>
  <si>
    <t>James Johnson</t>
  </si>
  <si>
    <t>johnsja01</t>
  </si>
  <si>
    <t>Kelly Olynyk</t>
  </si>
  <si>
    <t>olynyke01</t>
  </si>
  <si>
    <t>Taurean Prince</t>
  </si>
  <si>
    <t>princta02</t>
  </si>
  <si>
    <t>Rodney Hood</t>
  </si>
  <si>
    <t>hoodro01</t>
  </si>
  <si>
    <t>Al-Farouq Aminu</t>
  </si>
  <si>
    <t>aminual01</t>
  </si>
  <si>
    <t>P.J. Tucker</t>
  </si>
  <si>
    <t>tuckepj01</t>
  </si>
  <si>
    <t>D.J. Wilson</t>
  </si>
  <si>
    <t>wilsodj01</t>
  </si>
  <si>
    <t>Nicolò Melli</t>
  </si>
  <si>
    <t>mellini01</t>
  </si>
  <si>
    <t>Maurice Harkless</t>
  </si>
  <si>
    <t>harklma01</t>
  </si>
  <si>
    <t>Troy Brown Jr.</t>
  </si>
  <si>
    <t>browntr01</t>
  </si>
  <si>
    <t>Chandler Hutchison</t>
  </si>
  <si>
    <t>hutchch01</t>
  </si>
  <si>
    <t>Gary Clark</t>
  </si>
  <si>
    <t>clarkga01</t>
  </si>
  <si>
    <t>Rodions Kurucs</t>
  </si>
  <si>
    <t>kurucro01</t>
  </si>
  <si>
    <t>Wes Iwundu</t>
  </si>
  <si>
    <t>iwundwe01</t>
  </si>
  <si>
    <t>Hamidou Diallo</t>
  </si>
  <si>
    <t>diallha01</t>
  </si>
  <si>
    <t>Svi Mykhailiuk</t>
  </si>
  <si>
    <t>mykhasv01</t>
  </si>
  <si>
    <t>Torrey Craig</t>
  </si>
  <si>
    <t>craigto01</t>
  </si>
  <si>
    <t>Chris Silva</t>
  </si>
  <si>
    <t>silvach01</t>
  </si>
  <si>
    <t>Javonte Green</t>
  </si>
  <si>
    <t>greenja02</t>
  </si>
  <si>
    <t>Blake Griffin</t>
  </si>
  <si>
    <t>griffbl01</t>
  </si>
  <si>
    <t>Justin Jackson</t>
  </si>
  <si>
    <t>jacksju01</t>
  </si>
  <si>
    <t>Nemanja Bjelica</t>
  </si>
  <si>
    <t>bjeline01</t>
  </si>
  <si>
    <t>Jabari Parker</t>
  </si>
  <si>
    <t>parkeja01</t>
  </si>
  <si>
    <t>Tyler Cook</t>
  </si>
  <si>
    <t>cookty01</t>
  </si>
  <si>
    <t>Mfiondu Kabengele</t>
  </si>
  <si>
    <t>kabenmf01</t>
  </si>
  <si>
    <t>Ignas Brazdeikis</t>
  </si>
  <si>
    <t>brazdig01</t>
  </si>
  <si>
    <t>Kevin Durant</t>
  </si>
  <si>
    <t>duranke01</t>
  </si>
  <si>
    <t>Jimmy Butler</t>
  </si>
  <si>
    <t>butleji01</t>
  </si>
  <si>
    <t>Tobias Harris</t>
  </si>
  <si>
    <t>harrito02</t>
  </si>
  <si>
    <t>Khris Middleton</t>
  </si>
  <si>
    <t>middlkh01</t>
  </si>
  <si>
    <t>Kevin Love</t>
  </si>
  <si>
    <t>loveke01</t>
  </si>
  <si>
    <t>Pascal Siakam</t>
  </si>
  <si>
    <t>siakapa01</t>
  </si>
  <si>
    <t>Gordon Hayward</t>
  </si>
  <si>
    <t>haywago01</t>
  </si>
  <si>
    <t>Giannis Antetokounmpo</t>
  </si>
  <si>
    <t>antetgi01</t>
  </si>
  <si>
    <t>Domantas Sabonis</t>
  </si>
  <si>
    <t>sabondo01</t>
  </si>
  <si>
    <t>Danilo Gallinari</t>
  </si>
  <si>
    <t>gallida01</t>
  </si>
  <si>
    <t>Jerami Grant</t>
  </si>
  <si>
    <t>grantje01</t>
  </si>
  <si>
    <t>Julius Randle</t>
  </si>
  <si>
    <t>randlju01</t>
  </si>
  <si>
    <t>Joe Harris</t>
  </si>
  <si>
    <t>harrijo01</t>
  </si>
  <si>
    <t>Danny Green</t>
  </si>
  <si>
    <t>greenda02</t>
  </si>
  <si>
    <t>Dāvis Bertāns</t>
  </si>
  <si>
    <t>bertada01</t>
  </si>
  <si>
    <t>Andre Iguodala</t>
  </si>
  <si>
    <t>iguodan01</t>
  </si>
  <si>
    <t>Thaddeus Young</t>
  </si>
  <si>
    <t>youngth01</t>
  </si>
  <si>
    <t>Trevor Ariza</t>
  </si>
  <si>
    <t>arizatr01</t>
  </si>
  <si>
    <t>T.J. Warren</t>
  </si>
  <si>
    <t>warretj01</t>
  </si>
  <si>
    <t>Larry Nance Jr.</t>
  </si>
  <si>
    <t>nancela02</t>
  </si>
  <si>
    <t>Jayson Tatum</t>
  </si>
  <si>
    <t>tatumja01</t>
  </si>
  <si>
    <t>Cedi Osman</t>
  </si>
  <si>
    <t>osmande01</t>
  </si>
  <si>
    <t>De'Andre Hunter</t>
  </si>
  <si>
    <t>huntede01</t>
  </si>
  <si>
    <t>Doug McDermott</t>
  </si>
  <si>
    <t>mcderdo01</t>
  </si>
  <si>
    <t>Patrick Williams</t>
  </si>
  <si>
    <t>willipa01</t>
  </si>
  <si>
    <t>Lauri Markkanen</t>
  </si>
  <si>
    <t>markkla01</t>
  </si>
  <si>
    <t>Mike Scott</t>
  </si>
  <si>
    <t>scottmi01</t>
  </si>
  <si>
    <t>Obi Toppin</t>
  </si>
  <si>
    <t>toppiob01</t>
  </si>
  <si>
    <t>Rui Hachimura</t>
  </si>
  <si>
    <t>hachiru01</t>
  </si>
  <si>
    <t>Kevin Knox</t>
  </si>
  <si>
    <t>knoxke01</t>
  </si>
  <si>
    <t>Deni Avdija</t>
  </si>
  <si>
    <t>avdijde01</t>
  </si>
  <si>
    <t>Cam Reddish</t>
  </si>
  <si>
    <t>reddica01</t>
  </si>
  <si>
    <t>Reggie Bullock</t>
  </si>
  <si>
    <t>bullore01</t>
  </si>
  <si>
    <t>John Collins</t>
  </si>
  <si>
    <t>collijo01</t>
  </si>
  <si>
    <t>P.J. Washington</t>
  </si>
  <si>
    <t>washipj01</t>
  </si>
  <si>
    <t>Patrick McCaw</t>
  </si>
  <si>
    <t>mccawpa01</t>
  </si>
  <si>
    <t>Miles Bridges</t>
  </si>
  <si>
    <t>bridgmi02</t>
  </si>
  <si>
    <t>OG Anunoby</t>
  </si>
  <si>
    <t>anunoog01</t>
  </si>
  <si>
    <t>Stanley Johnson</t>
  </si>
  <si>
    <t>johnsst04</t>
  </si>
  <si>
    <t>Aaron Nesmith</t>
  </si>
  <si>
    <t>nesmiaa01</t>
  </si>
  <si>
    <t>Sekou Doumbouya</t>
  </si>
  <si>
    <t>doumbse01</t>
  </si>
  <si>
    <t>James Ennis III</t>
  </si>
  <si>
    <t>ennisja01</t>
  </si>
  <si>
    <t>Chuma Okeke</t>
  </si>
  <si>
    <t>okekech01</t>
  </si>
  <si>
    <t>Saddiq Bey</t>
  </si>
  <si>
    <t>beysa01</t>
  </si>
  <si>
    <t>Precious Achiuwa</t>
  </si>
  <si>
    <t>achiupr01</t>
  </si>
  <si>
    <t>Grant Williams</t>
  </si>
  <si>
    <t>willigr01</t>
  </si>
  <si>
    <t>Dylan Windler</t>
  </si>
  <si>
    <t>windldy01</t>
  </si>
  <si>
    <t>Semi Ojeleye</t>
  </si>
  <si>
    <t>ojelese01</t>
  </si>
  <si>
    <t>DeAndre' Bembry</t>
  </si>
  <si>
    <t>bembrde01</t>
  </si>
  <si>
    <t>Thanasis Antetokounmpo</t>
  </si>
  <si>
    <t>antetth01</t>
  </si>
  <si>
    <t>Isaac Bonga</t>
  </si>
  <si>
    <t>bongais01</t>
  </si>
  <si>
    <t>Duncan Robinson</t>
  </si>
  <si>
    <t>robindu01</t>
  </si>
  <si>
    <t>JaKarr Sampson</t>
  </si>
  <si>
    <t>sampsja02</t>
  </si>
  <si>
    <t>Solomon Hill</t>
  </si>
  <si>
    <t>hillso01</t>
  </si>
  <si>
    <t>Jeff Green</t>
  </si>
  <si>
    <t>greenje02</t>
  </si>
  <si>
    <t>KZ Okpala</t>
  </si>
  <si>
    <t>okpalkz01</t>
  </si>
  <si>
    <t>Dean Wade</t>
  </si>
  <si>
    <t>wadede01</t>
  </si>
  <si>
    <t>Caleb Martin</t>
  </si>
  <si>
    <t>martica02</t>
  </si>
  <si>
    <t>Cody Martin</t>
  </si>
  <si>
    <t>martico01</t>
  </si>
  <si>
    <t>Jalen McDaniels</t>
  </si>
  <si>
    <t>mcdanja01</t>
  </si>
  <si>
    <t>Paul Watson</t>
  </si>
  <si>
    <t>watsopa01</t>
  </si>
  <si>
    <t>Kelan Martin</t>
  </si>
  <si>
    <t>martike03</t>
  </si>
  <si>
    <t>Nick Richards</t>
  </si>
  <si>
    <t>richani01</t>
  </si>
  <si>
    <t>Anthony Gill</t>
  </si>
  <si>
    <t>gillan01</t>
  </si>
  <si>
    <t>Max Strus</t>
  </si>
  <si>
    <t>strusma01</t>
  </si>
  <si>
    <t>Jordan Nwora</t>
  </si>
  <si>
    <t>nworajo01</t>
  </si>
  <si>
    <t>Oshae Brissett</t>
  </si>
  <si>
    <t>brissos01</t>
  </si>
  <si>
    <t>Timothé Luwawu-Cabarrot</t>
  </si>
  <si>
    <t>luwawti01</t>
  </si>
  <si>
    <t>Lamar Stevens</t>
  </si>
  <si>
    <t>stevela01</t>
  </si>
  <si>
    <t>Paul Reed</t>
  </si>
  <si>
    <t>reedpa01</t>
  </si>
  <si>
    <t>Axel Toupane</t>
  </si>
  <si>
    <t>toupaax01</t>
  </si>
  <si>
    <t>Reggie Perry</t>
  </si>
  <si>
    <t>perryre01</t>
  </si>
  <si>
    <t>Nathan Knight</t>
  </si>
  <si>
    <t>knighna01</t>
  </si>
  <si>
    <t>Alize Johnson</t>
  </si>
  <si>
    <t>johnsal02</t>
  </si>
  <si>
    <t>Yuta Watanabe</t>
  </si>
  <si>
    <t>watanyu01</t>
  </si>
  <si>
    <t>Anthony Tolliver</t>
  </si>
  <si>
    <t>tollian01</t>
  </si>
  <si>
    <t>Mamadi Diakite</t>
  </si>
  <si>
    <t>diakima01</t>
  </si>
  <si>
    <t>Freddie Gillespie</t>
  </si>
  <si>
    <t>gillefr01</t>
  </si>
  <si>
    <t>Stephen Curry</t>
  </si>
  <si>
    <t>Guard</t>
  </si>
  <si>
    <t>curryst01</t>
  </si>
  <si>
    <t>Chris Paul</t>
  </si>
  <si>
    <t>paulch01</t>
  </si>
  <si>
    <t>John Wall</t>
  </si>
  <si>
    <t>walljo01</t>
  </si>
  <si>
    <t>LeBron James</t>
  </si>
  <si>
    <t>jamesle01</t>
  </si>
  <si>
    <t>Mike Conley</t>
  </si>
  <si>
    <t>conlemi01</t>
  </si>
  <si>
    <t>Damian Lillard</t>
  </si>
  <si>
    <t>lillada01</t>
  </si>
  <si>
    <t>Devin Booker</t>
  </si>
  <si>
    <t>bookede01</t>
  </si>
  <si>
    <t>CJ McCollum</t>
  </si>
  <si>
    <t>mccolcj01</t>
  </si>
  <si>
    <t>D'Angelo Russell</t>
  </si>
  <si>
    <t>russeda01</t>
  </si>
  <si>
    <t>Jamal Murray</t>
  </si>
  <si>
    <t>murraja01</t>
  </si>
  <si>
    <t>Buddy Hield</t>
  </si>
  <si>
    <t>hieldbu01</t>
  </si>
  <si>
    <t>Tim Hardaway Jr.</t>
  </si>
  <si>
    <t>hardati02</t>
  </si>
  <si>
    <t>Ricky Rubio</t>
  </si>
  <si>
    <t>rubiori01</t>
  </si>
  <si>
    <t>Eric Bledsoe</t>
  </si>
  <si>
    <t>bledser01</t>
  </si>
  <si>
    <t>Eric Gordon</t>
  </si>
  <si>
    <t>gordoer01</t>
  </si>
  <si>
    <t>Dennis Schröder</t>
  </si>
  <si>
    <t>schrode01</t>
  </si>
  <si>
    <t>Dejounte Murray</t>
  </si>
  <si>
    <t>murrade01</t>
  </si>
  <si>
    <t>Patty Mills</t>
  </si>
  <si>
    <t>millspa02</t>
  </si>
  <si>
    <t>Malik Beasley</t>
  </si>
  <si>
    <t>beaslma01</t>
  </si>
  <si>
    <t>Patrick Beverley</t>
  </si>
  <si>
    <t>beverpa01</t>
  </si>
  <si>
    <t>Kentavious Caldwell-Pope</t>
  </si>
  <si>
    <t>caldwke01</t>
  </si>
  <si>
    <t>Jordan Clarkson</t>
  </si>
  <si>
    <t>clarkjo01</t>
  </si>
  <si>
    <t>Lonzo Ball</t>
  </si>
  <si>
    <t>balllo01</t>
  </si>
  <si>
    <t>Josh Richardson</t>
  </si>
  <si>
    <t>richajo01</t>
  </si>
  <si>
    <t>Anthony Edwards</t>
  </si>
  <si>
    <t>edwaran01</t>
  </si>
  <si>
    <t>De'Anthony Melton</t>
  </si>
  <si>
    <t>meltode01</t>
  </si>
  <si>
    <t>Ja Morant</t>
  </si>
  <si>
    <t>moranja01</t>
  </si>
  <si>
    <t>Tyus Jones</t>
  </si>
  <si>
    <t>jonesty01</t>
  </si>
  <si>
    <t>De'Aaron Fox</t>
  </si>
  <si>
    <t>foxde01</t>
  </si>
  <si>
    <t>Luka Dončić</t>
  </si>
  <si>
    <t>doncilu01</t>
  </si>
  <si>
    <t>Jarrett Culver</t>
  </si>
  <si>
    <t>culveja01</t>
  </si>
  <si>
    <t>Luke Kennard</t>
  </si>
  <si>
    <t>kennalu01</t>
  </si>
  <si>
    <t>Donovan Mitchell</t>
  </si>
  <si>
    <t>mitchdo01</t>
  </si>
  <si>
    <t>Shai Gilgeous-Alexander</t>
  </si>
  <si>
    <t>gilgesh01</t>
  </si>
  <si>
    <t>Jevon Carter</t>
  </si>
  <si>
    <t>carteje01</t>
  </si>
  <si>
    <t>Tyrese Haliburton</t>
  </si>
  <si>
    <t>halibty01</t>
  </si>
  <si>
    <t>Kira Lewis Jr.</t>
  </si>
  <si>
    <t>lewiski01</t>
  </si>
  <si>
    <t>Wesley Matthews</t>
  </si>
  <si>
    <t>matthwe02</t>
  </si>
  <si>
    <t>Derrick White</t>
  </si>
  <si>
    <t>whitede01</t>
  </si>
  <si>
    <t>Nickeil Alexander-Walker</t>
  </si>
  <si>
    <t>alexani01</t>
  </si>
  <si>
    <t>Facundo Campazzo</t>
  </si>
  <si>
    <t>campafa01</t>
  </si>
  <si>
    <t>Trey Burke</t>
  </si>
  <si>
    <t>burketr01</t>
  </si>
  <si>
    <t>Lonnie Walker IV</t>
  </si>
  <si>
    <t>walkelo01</t>
  </si>
  <si>
    <t>Josh Green</t>
  </si>
  <si>
    <t>greenjo02</t>
  </si>
  <si>
    <t>Alex Caruso</t>
  </si>
  <si>
    <t>carusal01</t>
  </si>
  <si>
    <t>Josh Okogie</t>
  </si>
  <si>
    <t>okogijo01</t>
  </si>
  <si>
    <t>Grayson Allen</t>
  </si>
  <si>
    <t>allengr01</t>
  </si>
  <si>
    <t>Ty Jerome</t>
  </si>
  <si>
    <t>jeromty01</t>
  </si>
  <si>
    <t>Anfernee Simons</t>
  </si>
  <si>
    <t>simonan01</t>
  </si>
  <si>
    <t>John Konchar</t>
  </si>
  <si>
    <t>konchjo01</t>
  </si>
  <si>
    <t>Jordan Poole</t>
  </si>
  <si>
    <t>poolejo01</t>
  </si>
  <si>
    <t>Théo Maledon</t>
  </si>
  <si>
    <t>maledth01</t>
  </si>
  <si>
    <t>Cameron Payne</t>
  </si>
  <si>
    <t>payneca01</t>
  </si>
  <si>
    <t>Desmond Bane</t>
  </si>
  <si>
    <t>banede01</t>
  </si>
  <si>
    <t>Damion Lee</t>
  </si>
  <si>
    <t>leeda03</t>
  </si>
  <si>
    <t>PJ Dozier</t>
  </si>
  <si>
    <t>doziepj01</t>
  </si>
  <si>
    <t>Kevin Porter Jr.</t>
  </si>
  <si>
    <t>porteke02</t>
  </si>
  <si>
    <t>Jalen Brunson</t>
  </si>
  <si>
    <t>brunsja01</t>
  </si>
  <si>
    <t>Isaiah Thomas</t>
  </si>
  <si>
    <t>thomais02</t>
  </si>
  <si>
    <t>Langston Galloway</t>
  </si>
  <si>
    <t>gallola01</t>
  </si>
  <si>
    <t>E'Twaun Moore</t>
  </si>
  <si>
    <t>mooreet01</t>
  </si>
  <si>
    <t>Sterling Brown</t>
  </si>
  <si>
    <t>brownst02</t>
  </si>
  <si>
    <t>Reggie Jackson</t>
  </si>
  <si>
    <t>jacksre01</t>
  </si>
  <si>
    <t>Monte Morris</t>
  </si>
  <si>
    <t>morrimo01</t>
  </si>
  <si>
    <t>Miye Oni</t>
  </si>
  <si>
    <t>onimi01</t>
  </si>
  <si>
    <t>Mychal Mulder</t>
  </si>
  <si>
    <t>muldemy01</t>
  </si>
  <si>
    <t>Jaylen Nowell</t>
  </si>
  <si>
    <t>nowelja01</t>
  </si>
  <si>
    <t>Terance Mann</t>
  </si>
  <si>
    <t>mannte01</t>
  </si>
  <si>
    <t>Luguentz Dort</t>
  </si>
  <si>
    <t>dortlu01</t>
  </si>
  <si>
    <t>Talen Horton-Tucker</t>
  </si>
  <si>
    <t>hortota01</t>
  </si>
  <si>
    <t>Tyrell Terry</t>
  </si>
  <si>
    <t>terryty01</t>
  </si>
  <si>
    <t>Jahmi'us Ramsey</t>
  </si>
  <si>
    <t>ramseja01</t>
  </si>
  <si>
    <t>Tre Jones</t>
  </si>
  <si>
    <t>jonestr01</t>
  </si>
  <si>
    <t>Ty-Shon Alexander</t>
  </si>
  <si>
    <t>alexaty01</t>
  </si>
  <si>
    <t>Nate Hinton</t>
  </si>
  <si>
    <t>hintona01</t>
  </si>
  <si>
    <t>Jay Scrubb</t>
  </si>
  <si>
    <t>scrubja01</t>
  </si>
  <si>
    <t>Quinndary Weatherspoon</t>
  </si>
  <si>
    <t>weathqu01</t>
  </si>
  <si>
    <t>Kyle Guy</t>
  </si>
  <si>
    <t>guyky01</t>
  </si>
  <si>
    <t>Amir Coffey</t>
  </si>
  <si>
    <t>coffeam01</t>
  </si>
  <si>
    <t>Markus Howard</t>
  </si>
  <si>
    <t>howarma02</t>
  </si>
  <si>
    <t>Trent Forrest</t>
  </si>
  <si>
    <t>forretr01</t>
  </si>
  <si>
    <t>Armoni Brooks</t>
  </si>
  <si>
    <t>brookar01</t>
  </si>
  <si>
    <t>Nico Mannion</t>
  </si>
  <si>
    <t>mannini01</t>
  </si>
  <si>
    <t>Jordan McLaughlin</t>
  </si>
  <si>
    <t>mclaujo01</t>
  </si>
  <si>
    <t>Juan Toscano-Anderson</t>
  </si>
  <si>
    <t>toscaju01</t>
  </si>
  <si>
    <t>Tim Frazier</t>
  </si>
  <si>
    <t>fraziti01</t>
  </si>
  <si>
    <t>Khyri Thomas</t>
  </si>
  <si>
    <t>thomakh01</t>
  </si>
  <si>
    <t>Charlie Brown Jr.</t>
  </si>
  <si>
    <t>brownch02</t>
  </si>
  <si>
    <t>Gary Payton II</t>
  </si>
  <si>
    <t>paytoga02</t>
  </si>
  <si>
    <t>James Harden</t>
  </si>
  <si>
    <t>hardeja01</t>
  </si>
  <si>
    <t>Victor Oladipo</t>
  </si>
  <si>
    <t>oladivi01</t>
  </si>
  <si>
    <t>Gary Harris</t>
  </si>
  <si>
    <t>harriga01</t>
  </si>
  <si>
    <t>Caris LeVert</t>
  </si>
  <si>
    <t>leverca01</t>
  </si>
  <si>
    <t>JJ Redick</t>
  </si>
  <si>
    <t>redicjj01</t>
  </si>
  <si>
    <t>Cory Joseph</t>
  </si>
  <si>
    <t>josepco01</t>
  </si>
  <si>
    <t>Norman Powell</t>
  </si>
  <si>
    <t>powelno01</t>
  </si>
  <si>
    <t>George Hill</t>
  </si>
  <si>
    <t>hillge01</t>
  </si>
  <si>
    <t>Delon Wright</t>
  </si>
  <si>
    <t>wrighde01</t>
  </si>
  <si>
    <t>Lou Williams</t>
  </si>
  <si>
    <t>willilo02</t>
  </si>
  <si>
    <t>Derrick Rose</t>
  </si>
  <si>
    <t>rosede01</t>
  </si>
  <si>
    <t>Rajon Rondo</t>
  </si>
  <si>
    <t>rondora01</t>
  </si>
  <si>
    <t>D.J. Augustin</t>
  </si>
  <si>
    <t>augusdj01</t>
  </si>
  <si>
    <t>Dennis Smith Jr.</t>
  </si>
  <si>
    <t>smithde03</t>
  </si>
  <si>
    <t>Avery Bradley</t>
  </si>
  <si>
    <t>bradlav01</t>
  </si>
  <si>
    <t>Ben McLemore</t>
  </si>
  <si>
    <t>mclembe01</t>
  </si>
  <si>
    <t>Brad Wanamaker</t>
  </si>
  <si>
    <t>wanambr01</t>
  </si>
  <si>
    <t>R.J. Hampton</t>
  </si>
  <si>
    <t>hamptrj01</t>
  </si>
  <si>
    <t>Gary Trent Jr.</t>
  </si>
  <si>
    <t>trentga02</t>
  </si>
  <si>
    <t>Quinn Cook</t>
  </si>
  <si>
    <t>cookqu01</t>
  </si>
  <si>
    <t>Shaquille Harrison</t>
  </si>
  <si>
    <t>harrish01</t>
  </si>
  <si>
    <t>Matt Thomas</t>
  </si>
  <si>
    <t>thomama02</t>
  </si>
  <si>
    <t>Terence Davis</t>
  </si>
  <si>
    <t>daviste02</t>
  </si>
  <si>
    <t>DaQuan Jeffries</t>
  </si>
  <si>
    <t>jeffrda01</t>
  </si>
  <si>
    <t>Jeff Teague</t>
  </si>
  <si>
    <t>teaguje01</t>
  </si>
  <si>
    <t>Sindarius Thornwell</t>
  </si>
  <si>
    <t>thornsi01</t>
  </si>
  <si>
    <t>Brodric Thomas</t>
  </si>
  <si>
    <t>thomabr01</t>
  </si>
  <si>
    <t>Yogi Ferrell</t>
  </si>
  <si>
    <t>ferreyo01</t>
  </si>
  <si>
    <t>Austin Rivers</t>
  </si>
  <si>
    <t>riverau01</t>
  </si>
  <si>
    <t>Russell Westbrook</t>
  </si>
  <si>
    <t>westbru01</t>
  </si>
  <si>
    <t>Kemba Walker</t>
  </si>
  <si>
    <t>walkeke02</t>
  </si>
  <si>
    <t>Kyrie Irving</t>
  </si>
  <si>
    <t>irvinky01</t>
  </si>
  <si>
    <t>Ben Simmons</t>
  </si>
  <si>
    <t>simmobe01</t>
  </si>
  <si>
    <t>Kyle Lowry</t>
  </si>
  <si>
    <t>lowryky01</t>
  </si>
  <si>
    <t>Bradley Beal</t>
  </si>
  <si>
    <t>bealbr01</t>
  </si>
  <si>
    <t>Jrue Holiday</t>
  </si>
  <si>
    <t>holidjr01</t>
  </si>
  <si>
    <t>Jaylen Brown</t>
  </si>
  <si>
    <t>brownja02</t>
  </si>
  <si>
    <t>Fred VanVleet</t>
  </si>
  <si>
    <t>vanvlfr01</t>
  </si>
  <si>
    <t>Malcolm Brogdon</t>
  </si>
  <si>
    <t>brogdma01</t>
  </si>
  <si>
    <t>Zach LaVine</t>
  </si>
  <si>
    <t>lavinza01</t>
  </si>
  <si>
    <t>Terry Rozier</t>
  </si>
  <si>
    <t>roziete01</t>
  </si>
  <si>
    <t>Bogdan Bogdanović</t>
  </si>
  <si>
    <t>bogdabo01</t>
  </si>
  <si>
    <t>Goran Dragić</t>
  </si>
  <si>
    <t>dragigo01</t>
  </si>
  <si>
    <t>Terrence Ross</t>
  </si>
  <si>
    <t>rosste01</t>
  </si>
  <si>
    <t>Marcus Smart</t>
  </si>
  <si>
    <t>smartma01</t>
  </si>
  <si>
    <t>Markelle Fultz</t>
  </si>
  <si>
    <t>fultzma01</t>
  </si>
  <si>
    <t>Tony Snell</t>
  </si>
  <si>
    <t>snellto01</t>
  </si>
  <si>
    <t>Spencer Dinwiddie</t>
  </si>
  <si>
    <t>dinwisp01</t>
  </si>
  <si>
    <t>Jeremy Lamb</t>
  </si>
  <si>
    <t>lambje01</t>
  </si>
  <si>
    <t>Tomáš Satoranský</t>
  </si>
  <si>
    <t>satorto01</t>
  </si>
  <si>
    <t>Danté Exum</t>
  </si>
  <si>
    <t>exumda01</t>
  </si>
  <si>
    <t>RJ Barrett</t>
  </si>
  <si>
    <t>barrerj01</t>
  </si>
  <si>
    <t>LaMelo Ball</t>
  </si>
  <si>
    <t>ballla01</t>
  </si>
  <si>
    <t>Seth Curry</t>
  </si>
  <si>
    <t>curryse01</t>
  </si>
  <si>
    <t>Darius Garland</t>
  </si>
  <si>
    <t>garlada01</t>
  </si>
  <si>
    <t>Trae Young</t>
  </si>
  <si>
    <t>youngtr01</t>
  </si>
  <si>
    <t>Isaac Okoro</t>
  </si>
  <si>
    <t>okorois01</t>
  </si>
  <si>
    <t>Frank Ntilikina</t>
  </si>
  <si>
    <t>ntilila01</t>
  </si>
  <si>
    <t>Ish Smith</t>
  </si>
  <si>
    <t>smithis01</t>
  </si>
  <si>
    <t>Alec Burks</t>
  </si>
  <si>
    <t>burksal01</t>
  </si>
  <si>
    <t>Justin Holiday</t>
  </si>
  <si>
    <t>holidju01</t>
  </si>
  <si>
    <t>Coby White</t>
  </si>
  <si>
    <t>whiteco01</t>
  </si>
  <si>
    <t>Malik Monk</t>
  </si>
  <si>
    <t>monkma01</t>
  </si>
  <si>
    <t>Killian Hayes</t>
  </si>
  <si>
    <t>hayeski01</t>
  </si>
  <si>
    <t>Rodney McGruder</t>
  </si>
  <si>
    <t>mcgruro01</t>
  </si>
  <si>
    <t>Collin Sexton</t>
  </si>
  <si>
    <t>sextoco01</t>
  </si>
  <si>
    <t>Pat Connaughton</t>
  </si>
  <si>
    <t>connapa01</t>
  </si>
  <si>
    <t>Kris Dunn</t>
  </si>
  <si>
    <t>dunnkr01</t>
  </si>
  <si>
    <t>Garrett Temple</t>
  </si>
  <si>
    <t>templga01</t>
  </si>
  <si>
    <t>Elfrid Payton</t>
  </si>
  <si>
    <t>paytoel01</t>
  </si>
  <si>
    <t>Josh Jackson</t>
  </si>
  <si>
    <t>jacksjo02</t>
  </si>
  <si>
    <t>Denzel Valentine</t>
  </si>
  <si>
    <t>valende01</t>
  </si>
  <si>
    <t>Terrance Ferguson</t>
  </si>
  <si>
    <t>fergute01</t>
  </si>
  <si>
    <t>Jerome Robinson</t>
  </si>
  <si>
    <t>robinje01</t>
  </si>
  <si>
    <t>Romeo Langford</t>
  </si>
  <si>
    <t>langfro01</t>
  </si>
  <si>
    <t>T.J. McConnell</t>
  </si>
  <si>
    <t>mccontj01</t>
  </si>
  <si>
    <t>Michael Carter-Williams</t>
  </si>
  <si>
    <t>cartemi01</t>
  </si>
  <si>
    <t>Cole Anthony</t>
  </si>
  <si>
    <t>anthoco01</t>
  </si>
  <si>
    <t>Donte DiVincenzo</t>
  </si>
  <si>
    <t>divindo01</t>
  </si>
  <si>
    <t>Ryan Arcidiacono</t>
  </si>
  <si>
    <t>arcidry01</t>
  </si>
  <si>
    <t>Kevin Huerter</t>
  </si>
  <si>
    <t>huertke01</t>
  </si>
  <si>
    <t>Matisse Thybulle</t>
  </si>
  <si>
    <t>thybuma01</t>
  </si>
  <si>
    <t>Tyler Herro</t>
  </si>
  <si>
    <t>herroty01</t>
  </si>
  <si>
    <t>Tyrese Maxey</t>
  </si>
  <si>
    <t>maxeyty01</t>
  </si>
  <si>
    <t>Aaron Holiday</t>
  </si>
  <si>
    <t>holidaa01</t>
  </si>
  <si>
    <t>Bryn Forbes</t>
  </si>
  <si>
    <t>forbebr01</t>
  </si>
  <si>
    <t>Payton Pritchard</t>
  </si>
  <si>
    <t>pritcpa01</t>
  </si>
  <si>
    <t>Edmond Sumner</t>
  </si>
  <si>
    <t>sumneed01</t>
  </si>
  <si>
    <t>Immanuel Quickley</t>
  </si>
  <si>
    <t>quickim01</t>
  </si>
  <si>
    <t>Landry Shamet</t>
  </si>
  <si>
    <t>shamela01</t>
  </si>
  <si>
    <t>Damyean Dotson</t>
  </si>
  <si>
    <t>dotsoda01</t>
  </si>
  <si>
    <t>Malachi Flynn</t>
  </si>
  <si>
    <t>flynnma01</t>
  </si>
  <si>
    <t>Furkan Korkmaz</t>
  </si>
  <si>
    <t>korkmfu01</t>
  </si>
  <si>
    <t>Brandon Goodwin</t>
  </si>
  <si>
    <t>goodwbr01</t>
  </si>
  <si>
    <t>Shake Milton</t>
  </si>
  <si>
    <t>miltosh01</t>
  </si>
  <si>
    <t>Bruce Brown</t>
  </si>
  <si>
    <t>brownbr01</t>
  </si>
  <si>
    <t>Kendrick Nunn</t>
  </si>
  <si>
    <t>nunnke01</t>
  </si>
  <si>
    <t>Matthew Dellavedova</t>
  </si>
  <si>
    <t>dellama01</t>
  </si>
  <si>
    <t>Tyler Johnson</t>
  </si>
  <si>
    <t>johnsty01</t>
  </si>
  <si>
    <t>Wayne Ellington</t>
  </si>
  <si>
    <t>ellinwa01</t>
  </si>
  <si>
    <t>Dwayne Bacon</t>
  </si>
  <si>
    <t>bacondw01</t>
  </si>
  <si>
    <t>Raul Neto</t>
  </si>
  <si>
    <t>netora01</t>
  </si>
  <si>
    <t>Jalen Lecque</t>
  </si>
  <si>
    <t>lecquja01</t>
  </si>
  <si>
    <t>Rayjon Tucker</t>
  </si>
  <si>
    <t>tuckera01</t>
  </si>
  <si>
    <t>Carsen Edwards</t>
  </si>
  <si>
    <t>edwarca01</t>
  </si>
  <si>
    <t>Theo Pinson</t>
  </si>
  <si>
    <t>pinsoth01</t>
  </si>
  <si>
    <t>Jaylen Adams</t>
  </si>
  <si>
    <t>adamsja01</t>
  </si>
  <si>
    <t>Andre Roberson</t>
  </si>
  <si>
    <t>roberan03</t>
  </si>
  <si>
    <t>Deividas Sirvydis</t>
  </si>
  <si>
    <t>sirvyde01</t>
  </si>
  <si>
    <t>Sam Merrill</t>
  </si>
  <si>
    <t>merrisa01</t>
  </si>
  <si>
    <t>Isaiah Joe</t>
  </si>
  <si>
    <t>joeis01</t>
  </si>
  <si>
    <t>Devon Dotson</t>
  </si>
  <si>
    <t>dotsode01</t>
  </si>
  <si>
    <t>Grant Riller</t>
  </si>
  <si>
    <t>rillegr01</t>
  </si>
  <si>
    <t>Cassius Stanley</t>
  </si>
  <si>
    <t>stanlca01</t>
  </si>
  <si>
    <t>Nate Darling</t>
  </si>
  <si>
    <t>darlina01</t>
  </si>
  <si>
    <t>Jared Harper</t>
  </si>
  <si>
    <t>harpeja01</t>
  </si>
  <si>
    <t>Adam Mokoka</t>
  </si>
  <si>
    <t>mokokad01</t>
  </si>
  <si>
    <t>Cassius Winston</t>
  </si>
  <si>
    <t>winstca01</t>
  </si>
  <si>
    <t>Jeremiah Martin</t>
  </si>
  <si>
    <t>martije02</t>
  </si>
  <si>
    <t>Skylar Mays</t>
  </si>
  <si>
    <t>mayssk01</t>
  </si>
  <si>
    <t>Garrison Mathews</t>
  </si>
  <si>
    <t>mathega01</t>
  </si>
  <si>
    <t>Chris Chiozza</t>
  </si>
  <si>
    <t>chiozch01</t>
  </si>
  <si>
    <t>Tremont Waters</t>
  </si>
  <si>
    <t>watertr01</t>
  </si>
  <si>
    <t>Gabe Vincent</t>
  </si>
  <si>
    <t>vincega01</t>
  </si>
  <si>
    <t>Frank Jackson</t>
  </si>
  <si>
    <t>jacksfr01</t>
  </si>
  <si>
    <t>Chasson Randle</t>
  </si>
  <si>
    <t>randlch01</t>
  </si>
  <si>
    <t>Saben Lee</t>
  </si>
  <si>
    <t>leesa01</t>
  </si>
  <si>
    <t>Devonte' Graham</t>
  </si>
  <si>
    <t>grahade01</t>
  </si>
  <si>
    <t>Mike James</t>
  </si>
  <si>
    <t>jamesmi02</t>
  </si>
  <si>
    <t>Elijah Bryant</t>
  </si>
  <si>
    <t>bryanel01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</si>
  <si>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</si>
  <si>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</si>
  <si>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</si>
  <si>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</si>
  <si>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</si>
  <si>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</si>
  <si>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</si>
  <si>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</si>
  <si>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</si>
  <si>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</si>
  <si>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</si>
  <si>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</si>
  <si>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</si>
  <si>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</si>
  <si>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</si>
  <si>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</si>
  <si>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</si>
  <si>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</si>
  <si>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</si>
  <si>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</si>
  <si>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</si>
  <si>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</si>
  <si>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</si>
  <si>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</si>
  <si>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Interpretations:</t>
  </si>
  <si>
    <t xml:space="preserve">R-squared = </t>
  </si>
  <si>
    <t>Based on the r-squared value, this model explains 51.14% of the variation in player salary.</t>
  </si>
  <si>
    <t xml:space="preserve">Adj. R-squared = </t>
  </si>
  <si>
    <t>Based on the adjusted r-squared value, this model explains 50.07% of the variation in player salary.</t>
  </si>
  <si>
    <t>Using a 0.05 significance level (a = 0.05), the following predictors are significant (i.e. p-value &lt; a):</t>
  </si>
  <si>
    <t>Effective Field Goal %</t>
  </si>
  <si>
    <t>Points</t>
  </si>
  <si>
    <t>At the 0.05 significance level, the following predictors are insignificant (i.e. p-value &gt; a):</t>
  </si>
  <si>
    <t>Conference = West</t>
  </si>
  <si>
    <t>Conference = East</t>
  </si>
  <si>
    <t>Position = Guard</t>
  </si>
  <si>
    <t>Position = Forward</t>
  </si>
  <si>
    <t>Total Rebounds</t>
  </si>
  <si>
    <t>Steals</t>
  </si>
  <si>
    <t>Blocks</t>
  </si>
  <si>
    <t>Assist to Turnover Ratio</t>
  </si>
  <si>
    <t>Predictor Removed: Position = Forward</t>
  </si>
  <si>
    <t>This predictor's p-value was the highest (0.941)</t>
  </si>
  <si>
    <t>Predictor Removed: Steals</t>
  </si>
  <si>
    <t>This predictor's p-value was the highest (0.627)</t>
  </si>
  <si>
    <t>Predictor Removed: Assist to Turnover Ratio</t>
  </si>
  <si>
    <t>This predictor's p-value was the highest (0.449)</t>
  </si>
  <si>
    <t>Predictor Removed: Conference = East</t>
  </si>
  <si>
    <t>This predictor's p-value was the highest (0.423)</t>
  </si>
  <si>
    <t>Predictor Removed: Conference = West</t>
  </si>
  <si>
    <t>This predictor's p-value was the highest (0.456)</t>
  </si>
  <si>
    <t>Predictor Removed: Blocks</t>
  </si>
  <si>
    <t>This predictor's p-value was the highest (0.344)</t>
  </si>
  <si>
    <t>Predictor Removed: Total Rebounds</t>
  </si>
  <si>
    <t>This predictor's p-value was the highest (0.484)</t>
  </si>
  <si>
    <t>Predictor Removed: Position = Guard</t>
  </si>
  <si>
    <t>This predictor's p-value was the highest (0.301)</t>
  </si>
  <si>
    <t>Predictor Removed: Effective Field Goal %</t>
  </si>
  <si>
    <t>While all the predictors in model 9 had significant p-values, something had to be flagged about the coefficient of effective field goal %.</t>
  </si>
  <si>
    <t>This metric is essentially a weighted shooting metric - higher values indicate better and more accurate shooters.</t>
  </si>
  <si>
    <t>However, the extreme negative coefficient would indicate that higher effective field goal percentage lowers average salary, holding all else constant.</t>
  </si>
  <si>
    <t>This doesn't make sense conceptually, and is likely due to small sample size for some players. Players who played very little and thus attempted</t>
  </si>
  <si>
    <t>very few shots likely had extremely high effective field goal percentages. All of this is to say, effective field goal % had to be removed</t>
  </si>
  <si>
    <t>as a predictor, because it simply wouldn't make sense for better shooters to be making less, and including that as a predictor would hurt</t>
  </si>
  <si>
    <t>the model's predictive accuracy.</t>
  </si>
  <si>
    <t xml:space="preserve">R-squared  = </t>
  </si>
  <si>
    <t>The r-squared value indicates that our final model explains 50.2% of the variation in average salary for NBA players.</t>
  </si>
  <si>
    <t>The adjusted r-squared value indicates that our final model explains 50% of the variation in average salary.</t>
  </si>
  <si>
    <t>The intercept indicates that for a hypothetical player with age 0 and 0 total points scored, we predict an average salary of -$15,469,341, holding all other predictors constant.</t>
  </si>
  <si>
    <t>For each 1 year increase in player age, we predict an average salary increase of $633,653.60, holding all other predictors constant.</t>
  </si>
  <si>
    <t>For each additional point scored in a player's seasonal total, we predict an average salary increase of $13,308.47, holding all other predictors constant.</t>
  </si>
  <si>
    <t>Using claude, we learned a couple of things. Firstly, claude flagged our adjusted R-squared interpretation, stating that we should be aware of its difference from R-squared. Part of the adjusted R-squared interpretation</t>
  </si>
  <si>
    <t>should touch on how it adjusts for using multiple predictors in a model. Additionally, we had initially considered using model 9 as our final model. However, claude helped us with that, and agreed that it'd make more</t>
  </si>
  <si>
    <t>sense to remove effective field goal % from the model and move forward with a model only containing age and points.</t>
  </si>
  <si>
    <t>We chose this as our final model because all other variables were either insigificant predictors given their p-values, or in the case of effective field goal %, weren't practically significant.</t>
  </si>
  <si>
    <t>Age and points are both statistically and practically significant, and the r-squared value remained around 0.5 for the entirety of our backward elimination. In other words, the removal of</t>
  </si>
  <si>
    <t>all other predictors didn't make our r-squared value any worse.</t>
  </si>
  <si>
    <t>MULTICOLLINEARITY CHECK</t>
  </si>
  <si>
    <t>Correlation matrix of all continuous independent variables considered in Model 1. The categorical dummy variables</t>
  </si>
  <si>
    <t>(Conf_East, Conf_West, Pos_Guard, Pos_Forward) and the dependent variable (SalaryUSD) are excluded from this matrix.</t>
  </si>
  <si>
    <t>Correlations at or above 0.700 in absolute value are highlighted in yellow.</t>
  </si>
  <si>
    <t>Correlation of each continuous predictor with the dependent variable (SalaryUSD):</t>
  </si>
  <si>
    <t>Corr. with SalaryUSD</t>
  </si>
  <si>
    <t>Strong correlations (|r| &gt;= 0.700):</t>
  </si>
  <si>
    <t>PTS and STL (r = 0.747), BLK and TRB (r = 0.723), and PTS and TRB (r = 0.718) are all strongly correlated. STL and TRB (r = 0.626) is also</t>
  </si>
  <si>
    <t>moderately strong and worth noting. Every one of these pairs is a season total rather than a rate, so all of them are driven by the same</t>
  </si>
  <si>
    <t>underlying factor: playing time. A player who is on the floor for heavy minutes accumulates more points, rebounds, steals, and blocks at the</t>
  </si>
  <si>
    <t>same time, which is exactly why these counting stats move together. Age, AstTovRatio, and eFG are rate or non-volume measures, and none of</t>
  </si>
  <si>
    <t>them correlate above 0.35 with anything else in the matrix.</t>
  </si>
  <si>
    <t>Why this matters:</t>
  </si>
  <si>
    <t>Strong correlations among predictors inflate standard errors, which makes t-statistics smaller and p-values larger. This is very likely what we</t>
  </si>
  <si>
    <t>were seeing in Models 1 through 8: TRB, STL, and BLK all had large p-values (0.276, 0.659, and 0.312 in Model 1) even though each of them is</t>
  </si>
  <si>
    <t>positively correlated with salary on its own (0.463, 0.495, and 0.270 in the table above). Their explanatory power was already being captured by</t>
  </si>
  <si>
    <t>PTS, so they had little unique variation left to explain and looked insignificant as a result. Coefficient signs were also unstable, most obviously</t>
  </si>
  <si>
    <t>TRB, which was negative in every model despite having a positive simple correlation with salary.</t>
  </si>
  <si>
    <t>Steps taken to reduce multicollinearity:</t>
  </si>
  <si>
    <t>We did not need a separate correction step, because our backward elimination process removed the redundant variables on its own. STL was</t>
  </si>
  <si>
    <t>dropped in Model 3, BLK in Model 7, and TRB in Model 8, all on the basis of high p-values. That left PTS as the only volume statistic in the</t>
  </si>
  <si>
    <t>model, which is the one we would have chosen to keep anyway: it has the strongest correlation with salary of any predictor (0.648), and it is the</t>
  </si>
  <si>
    <t>most direct measure of the on-court production teams pay for. Removing the other three counting stats also removed the source of the</t>
  </si>
  <si>
    <t>multicollinearity rather than just working around it.</t>
  </si>
  <si>
    <t>Multicollinearity in the final model:</t>
  </si>
  <si>
    <t>Our final model contains only Age and PTS, and those two are correlated at just 0.128. That is nowhere near a level of concern, so the</t>
  </si>
  <si>
    <t>coefficients and standard errors in the final model can be interpreted without worrying that the two predictors are competing to explain the</t>
  </si>
  <si>
    <t>same variation. This is also why the final model's R-squared (0.503) is barely below Model 1's (0.511) even though nine predictors were</t>
  </si>
  <si>
    <t>removed: most of what those predictors explained was already contained in PTS and Age.</t>
  </si>
  <si>
    <t>REGRESSION COMMENTARY</t>
  </si>
  <si>
    <t>Final model: Predicted Salary = -15,469,341 + 633,654(Age) + 13,308(PTS)</t>
  </si>
  <si>
    <t>How the final model performs:</t>
  </si>
  <si>
    <t>Our final model uses a player's age and total points scored to predict salary, and it explains 50.3% of the variation in NBA salaries</t>
  </si>
  <si>
    <t>(adjusted R-squared of 50.1%). The overall model is highly significant (F = 257.58, Significance F = 4.76E-78), and both predictors are</t>
  </si>
  <si>
    <t>significant well beyond the 0.05 level (p = 1.08E-18 for age and p = 2.93E-63 for points). What we found most convincing about this model is</t>
  </si>
  <si>
    <t>how little we gave up to get there. Model 1 used all eleven predictors and reached an R-squared of 0.511; the final model uses two predictors</t>
  </si>
  <si>
    <t>and reaches 0.503. Dropping nine variables cost us less than one percentage point of explanatory power, and the adjusted R-squared actually</t>
  </si>
  <si>
    <t>stayed essentially flat (0.5007 in Model 1 versus 0.5006 here), which tells us the removed variables were not earning their place in the model.</t>
  </si>
  <si>
    <t>The standard error is still large in absolute terms (about $6.4 million), so the model is much better at describing general salary patterns than</t>
  </si>
  <si>
    <t>at pinning down what any one specific player will earn.</t>
  </si>
  <si>
    <t>Interpreting the significant predictors:</t>
  </si>
  <si>
    <t>Both significant predictors have a positive relationship with salary. Holding points constant, each additional year of age is associated with a</t>
  </si>
  <si>
    <t>predicted salary increase of about $633,654, which reflects how NBA contracts work: rookies are locked into a fixed rookie scale, and players</t>
  </si>
  <si>
    <t>only become eligible for larger veteran and max contracts after several years in the league. Holding age constant, each additional point scored</t>
  </si>
  <si>
    <t>over the season is associated with a predicted salary increase of about $13,308. Put in more practical terms, a player who scores 500 more</t>
  </si>
  <si>
    <t>points than a teammate of the same age is predicted to earn roughly $6.65 million more. The intercept of -$15,469,341 is not meaningful on its</t>
  </si>
  <si>
    <t>own, since no player is zero years old with zero points; it only exists to position the regression line correctly over the actual range of the data.</t>
  </si>
  <si>
    <t>Most useful and most surprising predictors:</t>
  </si>
  <si>
    <t>Points was by far the most useful predictor (t = 19.41), which matches the intuition that scoring is what the league pays for. The bigger surprise</t>
  </si>
  <si>
    <t>was how quickly everything else fell away. We expected defensive production to matter, but steals, blocks, and total rebounds were all</t>
  </si>
  <si>
    <t>insignificant once points was in the model, largely because those counting stats are strongly correlated with points through shared playing time</t>
  </si>
  <si>
    <t>(see the Multicollinearity tab). Conference and position were also insignificant, which is reassuring in a different way: it suggests the salary cap</t>
  </si>
  <si>
    <t>and a national labor market keep pay fairly consistent across teams and roles, unlike a sport such as baseball where market size drives payroll.</t>
  </si>
  <si>
    <t>The most surprising result was effective field goal percentage, which was statistically significant but had a large negative coefficient. Taken at</t>
  </si>
  <si>
    <t>face value that would mean better shooters earn less, which is not credible. We concluded it was an artifact of low-minute players putting up</t>
  </si>
  <si>
    <t>extreme percentages on very few attempts, and we removed it for that reason rather than for its p-value.</t>
  </si>
  <si>
    <t>How the findings might support a business decision:</t>
  </si>
  <si>
    <t>A model like this is most useful to a front office as a salary benchmark during contract negotiations. Plugging a player's age and scoring output</t>
  </si>
  <si>
    <t>into the equation gives a market-expected salary, and comparing that to what the player is actually paid flags two useful groups: players earning</t>
  </si>
  <si>
    <t>well below their predicted value, who are efficient contracts and possible trade targets, and players earning well above it, who may be candidates</t>
  </si>
  <si>
    <t>to move on from. The age coefficient is also directly useful for payroll planning, since it quantifies roughly how much a roster's cost drifts</t>
  </si>
  <si>
    <t>upward each year simply as players get older, which matters for a team managing against the cap over a multi-year window. An agent could use</t>
  </si>
  <si>
    <t>the same model in reverse to justify a client's asking price relative to comparable players.</t>
  </si>
  <si>
    <t>Limitations and cautions:</t>
  </si>
  <si>
    <t>The most important caution is that this model is descriptive, not causal, and the timing runs the wrong way for a prediction tool. Salary in a given</t>
  </si>
  <si>
    <t>season was set by a contract signed in an earlier year, so we are really explaining current pay with current production rather than showing that</t>
  </si>
  <si>
    <t>production causes pay. Roughly half the variation in salary is still unexplained, and much of that is likely driven by variables we do not have:</t>
  </si>
  <si>
    <t>minutes played, injury history, years of experience separate from age, contract status, draft position, and marketability. The salary structure itself</t>
  </si>
  <si>
    <t>also violates the spirit of a simple linear model, since rookie-scale minimums and maximum contracts compress the two ends of the distribution</t>
  </si>
  <si>
    <t>and salaries are right-skewed rather than normally distributed. Finally, this is a single season of data (513 players), so the results should not be</t>
  </si>
  <si>
    <t>extended to other seasons or to eras under a different collective bargaining agreement without re-fitting the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</si>
</sst>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charset val="1"/>
    </font>
    <font>
      <i/>
      <sz val="12"/>
      <color theme="1"/>
      <name val="Aptos Narrow"/>
      <family val="2"/>
      <charset val="1"/>
    </font>
    <font>
      <sz val="12"/>
      <color theme="1"/>
      <name val="Aptos Narrow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family val="2"/>
      <charset val="1"/>
    </font>
    <font>
      <b/>
      <sz val="12"/>
      <name val="Aptos Narrow"/>
      <charset val="1"/>
    </font>
    <font>
      <sz val="12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2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3" xfId="0" applyFill="1" applyBorder="1"/>
    <xf numFmtId="0" fontId="7" fillId="0" borderId="0" xfId="0" applyFont="1"/>
    <xf numFmtId="0" fontId="8" fillId="0" borderId="0" xfId="0" applyFont="1"/>
    <xf numFmtId="0" fontId="8" fillId="0" borderId="2" xfId="0" applyFont="1" applyBorder="1" applyAlignment="1">
      <alignment horizontal="center"/>
    </xf>
    <xf numFmtId="164" fontId="8" fillId="0" borderId="0" xfId="0" applyNumberFormat="1" applyFont="1"/>
    <xf numFmtId="164" fontId="8" fillId="2" borderId="0" xfId="0" applyNumberFormat="1" applyFont="1" applyFill="1"/>
    <xf numFmtId="0" fontId="8" fillId="0" borderId="3" xfId="0" applyFont="1" applyBorder="1"/>
    <xf numFmtId="164" fontId="8" fillId="0" borderId="3" xfId="0" applyNumberFormat="1" applyFont="1" applyBorder="1"/>
    <xf numFmtId="0" fontId="3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4"/>
  <sheetViews>
    <sheetView topLeftCell="L1" zoomScaleNormal="100" workbookViewId="0">
      <selection activeCell="R1" sqref="R1"/>
    </sheetView>
  </sheetViews>
  <sheetFormatPr baseColWidth="10" defaultColWidth="10.5" defaultRowHeight="16" x14ac:dyDescent="0.2"/>
  <cols>
    <col min="1" max="1" width="22.6640625" bestFit="1" customWidth="1"/>
    <col min="3" max="3" width="13.6640625" bestFit="1" customWidth="1"/>
    <col min="5" max="6" width="11" bestFit="1" customWidth="1"/>
    <col min="7" max="7" width="14.33203125" bestFit="1" customWidth="1"/>
    <col min="8" max="8" width="13.6640625" customWidth="1"/>
    <col min="10" max="10" width="11" bestFit="1" customWidth="1"/>
    <col min="11" max="12" width="13.6640625" customWidth="1"/>
    <col min="15" max="15" width="13.6640625" customWidth="1"/>
    <col min="17" max="17" width="11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27</v>
      </c>
      <c r="E2">
        <v>438</v>
      </c>
      <c r="F2">
        <v>29592696</v>
      </c>
      <c r="G2" t="s">
        <v>19</v>
      </c>
      <c r="H2">
        <f t="shared" ref="H2:H65" si="0">IF(B2="Forward", 1, 0)</f>
        <v>0</v>
      </c>
      <c r="I2">
        <v>54</v>
      </c>
      <c r="J2">
        <v>1.4230769230769231</v>
      </c>
      <c r="K2">
        <f t="shared" ref="K2:K65" si="1">IF(C2="East", 1, 0)</f>
        <v>0</v>
      </c>
      <c r="L2">
        <f t="shared" ref="L2:L65" si="2">IF(C2="West", 1, 0)</f>
        <v>1</v>
      </c>
      <c r="M2">
        <v>38</v>
      </c>
      <c r="N2">
        <v>514</v>
      </c>
      <c r="O2">
        <f t="shared" ref="O2:O65" si="3">IF($B2="Guard", 1, 0)</f>
        <v>0</v>
      </c>
      <c r="P2">
        <v>0.61399999999999999</v>
      </c>
    </row>
    <row r="3" spans="1:16" x14ac:dyDescent="0.2">
      <c r="A3" t="s">
        <v>20</v>
      </c>
      <c r="B3" t="s">
        <v>17</v>
      </c>
      <c r="C3" t="s">
        <v>18</v>
      </c>
      <c r="D3">
        <v>25</v>
      </c>
      <c r="E3">
        <v>1898</v>
      </c>
      <c r="F3">
        <v>29542010</v>
      </c>
      <c r="G3" t="s">
        <v>21</v>
      </c>
      <c r="H3">
        <f t="shared" si="0"/>
        <v>0</v>
      </c>
      <c r="I3">
        <v>95</v>
      </c>
      <c r="J3">
        <v>2.6981981981981984</v>
      </c>
      <c r="K3">
        <f t="shared" si="1"/>
        <v>0</v>
      </c>
      <c r="L3">
        <f t="shared" si="2"/>
        <v>1</v>
      </c>
      <c r="M3">
        <v>48</v>
      </c>
      <c r="N3">
        <v>780</v>
      </c>
      <c r="O3">
        <f t="shared" si="3"/>
        <v>0</v>
      </c>
      <c r="P3">
        <v>0.60199999999999998</v>
      </c>
    </row>
    <row r="4" spans="1:16" x14ac:dyDescent="0.2">
      <c r="A4" t="s">
        <v>22</v>
      </c>
      <c r="B4" t="s">
        <v>17</v>
      </c>
      <c r="C4" t="s">
        <v>18</v>
      </c>
      <c r="D4">
        <v>25</v>
      </c>
      <c r="E4">
        <v>865</v>
      </c>
      <c r="F4">
        <v>29467800</v>
      </c>
      <c r="G4" t="s">
        <v>23</v>
      </c>
      <c r="H4">
        <f t="shared" si="0"/>
        <v>0</v>
      </c>
      <c r="I4">
        <v>20</v>
      </c>
      <c r="J4">
        <v>1.3333333333333333</v>
      </c>
      <c r="K4">
        <f t="shared" si="1"/>
        <v>0</v>
      </c>
      <c r="L4">
        <f t="shared" si="2"/>
        <v>1</v>
      </c>
      <c r="M4">
        <v>58</v>
      </c>
      <c r="N4">
        <v>381</v>
      </c>
      <c r="O4">
        <f t="shared" si="3"/>
        <v>0</v>
      </c>
      <c r="P4">
        <v>0.54700000000000004</v>
      </c>
    </row>
    <row r="5" spans="1:16" x14ac:dyDescent="0.2">
      <c r="A5" t="s">
        <v>24</v>
      </c>
      <c r="B5" t="s">
        <v>17</v>
      </c>
      <c r="C5" t="s">
        <v>18</v>
      </c>
      <c r="D5">
        <v>25</v>
      </c>
      <c r="E5">
        <v>1239</v>
      </c>
      <c r="F5">
        <v>29467800</v>
      </c>
      <c r="G5" t="s">
        <v>25</v>
      </c>
      <c r="H5">
        <f t="shared" si="0"/>
        <v>0</v>
      </c>
      <c r="I5">
        <v>39</v>
      </c>
      <c r="J5">
        <v>1.40625</v>
      </c>
      <c r="K5">
        <f t="shared" si="1"/>
        <v>0</v>
      </c>
      <c r="L5">
        <f t="shared" si="2"/>
        <v>1</v>
      </c>
      <c r="M5">
        <v>57</v>
      </c>
      <c r="N5">
        <v>529</v>
      </c>
      <c r="O5">
        <f t="shared" si="3"/>
        <v>0</v>
      </c>
      <c r="P5">
        <v>0.55500000000000005</v>
      </c>
    </row>
    <row r="6" spans="1:16" x14ac:dyDescent="0.2">
      <c r="A6" t="s">
        <v>26</v>
      </c>
      <c r="B6" t="s">
        <v>17</v>
      </c>
      <c r="C6" t="s">
        <v>18</v>
      </c>
      <c r="D6">
        <v>28</v>
      </c>
      <c r="E6">
        <v>1015</v>
      </c>
      <c r="F6">
        <v>27525281</v>
      </c>
      <c r="G6" t="s">
        <v>27</v>
      </c>
      <c r="H6">
        <f t="shared" si="0"/>
        <v>0</v>
      </c>
      <c r="I6">
        <v>40</v>
      </c>
      <c r="J6">
        <v>0.75423728813559321</v>
      </c>
      <c r="K6">
        <f t="shared" si="1"/>
        <v>0</v>
      </c>
      <c r="L6">
        <f t="shared" si="2"/>
        <v>1</v>
      </c>
      <c r="M6">
        <v>190</v>
      </c>
      <c r="N6">
        <v>960</v>
      </c>
      <c r="O6">
        <f t="shared" si="3"/>
        <v>0</v>
      </c>
      <c r="P6">
        <v>0.67500000000000004</v>
      </c>
    </row>
    <row r="7" spans="1:16" x14ac:dyDescent="0.2">
      <c r="A7" t="s">
        <v>28</v>
      </c>
      <c r="B7" t="s">
        <v>17</v>
      </c>
      <c r="C7" t="s">
        <v>18</v>
      </c>
      <c r="D7">
        <v>34</v>
      </c>
      <c r="E7">
        <v>398</v>
      </c>
      <c r="F7">
        <v>27500000</v>
      </c>
      <c r="G7" t="s">
        <v>29</v>
      </c>
      <c r="H7">
        <f t="shared" si="0"/>
        <v>0</v>
      </c>
      <c r="I7">
        <v>25</v>
      </c>
      <c r="J7">
        <v>3.2413793103448274</v>
      </c>
      <c r="K7">
        <f t="shared" si="1"/>
        <v>0</v>
      </c>
      <c r="L7">
        <f t="shared" si="2"/>
        <v>1</v>
      </c>
      <c r="M7">
        <v>26</v>
      </c>
      <c r="N7">
        <v>188</v>
      </c>
      <c r="O7">
        <f t="shared" si="3"/>
        <v>0</v>
      </c>
      <c r="P7">
        <v>0.52800000000000002</v>
      </c>
    </row>
    <row r="8" spans="1:16" x14ac:dyDescent="0.2">
      <c r="A8" t="s">
        <v>30</v>
      </c>
      <c r="B8" t="s">
        <v>17</v>
      </c>
      <c r="C8" t="s">
        <v>18</v>
      </c>
      <c r="D8">
        <v>28</v>
      </c>
      <c r="E8">
        <v>1058</v>
      </c>
      <c r="F8">
        <v>15000000</v>
      </c>
      <c r="G8" t="s">
        <v>31</v>
      </c>
      <c r="H8">
        <f t="shared" si="0"/>
        <v>0</v>
      </c>
      <c r="I8">
        <v>35</v>
      </c>
      <c r="J8">
        <v>1.1200000000000001</v>
      </c>
      <c r="K8">
        <f t="shared" si="1"/>
        <v>0</v>
      </c>
      <c r="L8">
        <f t="shared" si="2"/>
        <v>1</v>
      </c>
      <c r="M8">
        <v>57</v>
      </c>
      <c r="N8">
        <v>776</v>
      </c>
      <c r="O8">
        <f t="shared" si="3"/>
        <v>0</v>
      </c>
      <c r="P8">
        <v>0.60599999999999998</v>
      </c>
    </row>
    <row r="9" spans="1:16" x14ac:dyDescent="0.2">
      <c r="A9" t="s">
        <v>32</v>
      </c>
      <c r="B9" t="s">
        <v>17</v>
      </c>
      <c r="C9" t="s">
        <v>18</v>
      </c>
      <c r="D9">
        <v>25</v>
      </c>
      <c r="E9">
        <v>860</v>
      </c>
      <c r="F9">
        <v>13015873</v>
      </c>
      <c r="G9" t="s">
        <v>33</v>
      </c>
      <c r="H9">
        <f t="shared" si="0"/>
        <v>0</v>
      </c>
      <c r="I9">
        <v>34</v>
      </c>
      <c r="J9">
        <v>0.88749999999999996</v>
      </c>
      <c r="K9">
        <f t="shared" si="1"/>
        <v>0</v>
      </c>
      <c r="L9">
        <f t="shared" si="2"/>
        <v>1</v>
      </c>
      <c r="M9">
        <v>48</v>
      </c>
      <c r="N9">
        <v>395</v>
      </c>
      <c r="O9">
        <f t="shared" si="3"/>
        <v>0</v>
      </c>
      <c r="P9">
        <v>0.57399999999999995</v>
      </c>
    </row>
    <row r="10" spans="1:16" x14ac:dyDescent="0.2">
      <c r="A10" t="s">
        <v>34</v>
      </c>
      <c r="B10" t="s">
        <v>17</v>
      </c>
      <c r="C10" t="s">
        <v>18</v>
      </c>
      <c r="D10">
        <v>26</v>
      </c>
      <c r="E10">
        <v>424</v>
      </c>
      <c r="F10">
        <v>12888889</v>
      </c>
      <c r="G10" t="s">
        <v>35</v>
      </c>
      <c r="H10">
        <f t="shared" si="0"/>
        <v>0</v>
      </c>
      <c r="I10">
        <v>38</v>
      </c>
      <c r="J10">
        <v>1.7123287671232876</v>
      </c>
      <c r="K10">
        <f t="shared" si="1"/>
        <v>0</v>
      </c>
      <c r="L10">
        <f t="shared" si="2"/>
        <v>1</v>
      </c>
      <c r="M10">
        <v>39</v>
      </c>
      <c r="N10">
        <v>332</v>
      </c>
      <c r="O10">
        <f t="shared" si="3"/>
        <v>0</v>
      </c>
      <c r="P10">
        <v>0.53200000000000003</v>
      </c>
    </row>
    <row r="11" spans="1:16" x14ac:dyDescent="0.2">
      <c r="A11" t="s">
        <v>36</v>
      </c>
      <c r="B11" t="s">
        <v>17</v>
      </c>
      <c r="C11" t="s">
        <v>18</v>
      </c>
      <c r="D11">
        <v>29</v>
      </c>
      <c r="E11">
        <v>342</v>
      </c>
      <c r="F11">
        <v>11080125</v>
      </c>
      <c r="G11" t="s">
        <v>37</v>
      </c>
      <c r="H11">
        <f t="shared" si="0"/>
        <v>0</v>
      </c>
      <c r="I11">
        <v>36</v>
      </c>
      <c r="J11">
        <v>1.575</v>
      </c>
      <c r="K11">
        <f t="shared" si="1"/>
        <v>0</v>
      </c>
      <c r="L11">
        <f t="shared" si="2"/>
        <v>1</v>
      </c>
      <c r="M11">
        <v>30</v>
      </c>
      <c r="N11">
        <v>234</v>
      </c>
      <c r="O11">
        <f t="shared" si="3"/>
        <v>0</v>
      </c>
      <c r="P11">
        <v>0.63100000000000001</v>
      </c>
    </row>
    <row r="12" spans="1:16" x14ac:dyDescent="0.2">
      <c r="A12" t="s">
        <v>38</v>
      </c>
      <c r="B12" t="s">
        <v>17</v>
      </c>
      <c r="C12" t="s">
        <v>18</v>
      </c>
      <c r="D12">
        <v>22</v>
      </c>
      <c r="E12">
        <v>997</v>
      </c>
      <c r="F12">
        <v>9562920</v>
      </c>
      <c r="G12" t="s">
        <v>39</v>
      </c>
      <c r="H12">
        <f t="shared" si="0"/>
        <v>0</v>
      </c>
      <c r="I12">
        <v>41</v>
      </c>
      <c r="J12">
        <v>0.96116504854368934</v>
      </c>
      <c r="K12">
        <f t="shared" si="1"/>
        <v>0</v>
      </c>
      <c r="L12">
        <f t="shared" si="2"/>
        <v>1</v>
      </c>
      <c r="M12">
        <v>81</v>
      </c>
      <c r="N12">
        <v>727</v>
      </c>
      <c r="O12">
        <f t="shared" si="3"/>
        <v>0</v>
      </c>
      <c r="P12">
        <v>0.629</v>
      </c>
    </row>
    <row r="13" spans="1:16" x14ac:dyDescent="0.2">
      <c r="A13" t="s">
        <v>40</v>
      </c>
      <c r="B13" t="s">
        <v>17</v>
      </c>
      <c r="C13" t="s">
        <v>18</v>
      </c>
      <c r="D13">
        <v>29</v>
      </c>
      <c r="E13">
        <v>369</v>
      </c>
      <c r="F13">
        <v>9258000</v>
      </c>
      <c r="G13" t="s">
        <v>41</v>
      </c>
      <c r="H13">
        <f t="shared" si="0"/>
        <v>0</v>
      </c>
      <c r="I13">
        <v>32</v>
      </c>
      <c r="J13">
        <v>1.2222222222222223</v>
      </c>
      <c r="K13">
        <f t="shared" si="1"/>
        <v>0</v>
      </c>
      <c r="L13">
        <f t="shared" si="2"/>
        <v>1</v>
      </c>
      <c r="M13">
        <v>68</v>
      </c>
      <c r="N13">
        <v>376</v>
      </c>
      <c r="O13">
        <f t="shared" si="3"/>
        <v>0</v>
      </c>
      <c r="P13">
        <v>0.63800000000000001</v>
      </c>
    </row>
    <row r="14" spans="1:16" x14ac:dyDescent="0.2">
      <c r="A14" t="s">
        <v>42</v>
      </c>
      <c r="B14" t="s">
        <v>17</v>
      </c>
      <c r="C14" t="s">
        <v>18</v>
      </c>
      <c r="D14">
        <v>31</v>
      </c>
      <c r="E14">
        <v>454</v>
      </c>
      <c r="F14">
        <v>9258000</v>
      </c>
      <c r="G14" t="s">
        <v>43</v>
      </c>
      <c r="H14">
        <f t="shared" si="0"/>
        <v>0</v>
      </c>
      <c r="I14">
        <v>9</v>
      </c>
      <c r="J14">
        <v>1.6818181818181819</v>
      </c>
      <c r="K14">
        <f t="shared" si="1"/>
        <v>0</v>
      </c>
      <c r="L14">
        <f t="shared" si="2"/>
        <v>1</v>
      </c>
      <c r="M14">
        <v>47</v>
      </c>
      <c r="N14">
        <v>275</v>
      </c>
      <c r="O14">
        <f t="shared" si="3"/>
        <v>0</v>
      </c>
      <c r="P14">
        <v>0.56299999999999994</v>
      </c>
    </row>
    <row r="15" spans="1:16" x14ac:dyDescent="0.2">
      <c r="A15" t="s">
        <v>44</v>
      </c>
      <c r="B15" t="s">
        <v>17</v>
      </c>
      <c r="C15" t="s">
        <v>18</v>
      </c>
      <c r="D15">
        <v>27</v>
      </c>
      <c r="E15">
        <v>931</v>
      </c>
      <c r="F15">
        <v>9258000</v>
      </c>
      <c r="G15" t="s">
        <v>45</v>
      </c>
      <c r="H15">
        <f t="shared" si="0"/>
        <v>0</v>
      </c>
      <c r="I15">
        <v>46</v>
      </c>
      <c r="J15">
        <v>0.98648648648648651</v>
      </c>
      <c r="K15">
        <f t="shared" si="1"/>
        <v>0</v>
      </c>
      <c r="L15">
        <f t="shared" si="2"/>
        <v>1</v>
      </c>
      <c r="M15">
        <v>49</v>
      </c>
      <c r="N15">
        <v>428</v>
      </c>
      <c r="O15">
        <f t="shared" si="3"/>
        <v>0</v>
      </c>
      <c r="P15">
        <v>0.622</v>
      </c>
    </row>
    <row r="16" spans="1:16" x14ac:dyDescent="0.2">
      <c r="A16" t="s">
        <v>46</v>
      </c>
      <c r="B16" t="s">
        <v>17</v>
      </c>
      <c r="C16" t="s">
        <v>18</v>
      </c>
      <c r="D16">
        <v>26</v>
      </c>
      <c r="E16">
        <v>437</v>
      </c>
      <c r="F16">
        <v>9250000</v>
      </c>
      <c r="G16" t="s">
        <v>47</v>
      </c>
      <c r="H16">
        <f t="shared" si="0"/>
        <v>0</v>
      </c>
      <c r="I16">
        <v>30</v>
      </c>
      <c r="J16">
        <v>1.1403508771929824</v>
      </c>
      <c r="K16">
        <f t="shared" si="1"/>
        <v>0</v>
      </c>
      <c r="L16">
        <f t="shared" si="2"/>
        <v>1</v>
      </c>
      <c r="M16">
        <v>4</v>
      </c>
      <c r="N16">
        <v>190</v>
      </c>
      <c r="O16">
        <f t="shared" si="3"/>
        <v>0</v>
      </c>
      <c r="P16">
        <v>0.51600000000000001</v>
      </c>
    </row>
    <row r="17" spans="1:16" x14ac:dyDescent="0.2">
      <c r="A17" t="s">
        <v>48</v>
      </c>
      <c r="B17" t="s">
        <v>17</v>
      </c>
      <c r="C17" t="s">
        <v>18</v>
      </c>
      <c r="D17">
        <v>19</v>
      </c>
      <c r="E17">
        <v>448</v>
      </c>
      <c r="F17">
        <v>8730240</v>
      </c>
      <c r="G17" t="s">
        <v>49</v>
      </c>
      <c r="H17">
        <f t="shared" si="0"/>
        <v>0</v>
      </c>
      <c r="I17">
        <v>11</v>
      </c>
      <c r="J17">
        <v>0.43333333333333335</v>
      </c>
      <c r="K17">
        <f t="shared" si="1"/>
        <v>0</v>
      </c>
      <c r="L17">
        <f t="shared" si="2"/>
        <v>1</v>
      </c>
      <c r="M17">
        <v>36</v>
      </c>
      <c r="N17">
        <v>226</v>
      </c>
      <c r="O17">
        <f t="shared" si="3"/>
        <v>0</v>
      </c>
      <c r="P17">
        <v>0.53500000000000003</v>
      </c>
    </row>
    <row r="18" spans="1:16" x14ac:dyDescent="0.2">
      <c r="A18" t="s">
        <v>50</v>
      </c>
      <c r="B18" t="s">
        <v>17</v>
      </c>
      <c r="C18" t="s">
        <v>18</v>
      </c>
      <c r="D18">
        <v>25</v>
      </c>
      <c r="E18">
        <v>593</v>
      </c>
      <c r="F18">
        <v>8101852</v>
      </c>
      <c r="G18" t="s">
        <v>51</v>
      </c>
      <c r="H18">
        <f t="shared" si="0"/>
        <v>0</v>
      </c>
      <c r="I18">
        <v>47</v>
      </c>
      <c r="J18">
        <v>1.6144578313253013</v>
      </c>
      <c r="K18">
        <f t="shared" si="1"/>
        <v>0</v>
      </c>
      <c r="L18">
        <f t="shared" si="2"/>
        <v>1</v>
      </c>
      <c r="M18">
        <v>123</v>
      </c>
      <c r="N18">
        <v>547</v>
      </c>
      <c r="O18">
        <f t="shared" si="3"/>
        <v>0</v>
      </c>
      <c r="P18">
        <v>0.61599999999999999</v>
      </c>
    </row>
    <row r="19" spans="1:16" x14ac:dyDescent="0.2">
      <c r="A19" t="s">
        <v>52</v>
      </c>
      <c r="B19" t="s">
        <v>17</v>
      </c>
      <c r="C19" t="s">
        <v>18</v>
      </c>
      <c r="D19">
        <v>21</v>
      </c>
      <c r="E19">
        <v>158</v>
      </c>
      <c r="F19">
        <v>7257360</v>
      </c>
      <c r="G19" t="s">
        <v>53</v>
      </c>
      <c r="H19">
        <f t="shared" si="0"/>
        <v>0</v>
      </c>
      <c r="I19">
        <v>12</v>
      </c>
      <c r="J19">
        <v>0.8</v>
      </c>
      <c r="K19">
        <f t="shared" si="1"/>
        <v>0</v>
      </c>
      <c r="L19">
        <f t="shared" si="2"/>
        <v>1</v>
      </c>
      <c r="M19">
        <v>18</v>
      </c>
      <c r="N19">
        <v>62</v>
      </c>
      <c r="O19">
        <f t="shared" si="3"/>
        <v>0</v>
      </c>
      <c r="P19">
        <v>0.49199999999999999</v>
      </c>
    </row>
    <row r="20" spans="1:16" x14ac:dyDescent="0.2">
      <c r="A20" t="s">
        <v>54</v>
      </c>
      <c r="B20" t="s">
        <v>17</v>
      </c>
      <c r="C20" t="s">
        <v>18</v>
      </c>
      <c r="D20">
        <v>23</v>
      </c>
      <c r="E20">
        <v>650</v>
      </c>
      <c r="F20">
        <v>7000000</v>
      </c>
      <c r="G20" t="s">
        <v>55</v>
      </c>
      <c r="H20">
        <f t="shared" si="0"/>
        <v>0</v>
      </c>
      <c r="I20">
        <v>24</v>
      </c>
      <c r="J20">
        <v>1.1111111111111112</v>
      </c>
      <c r="K20">
        <f t="shared" si="1"/>
        <v>0</v>
      </c>
      <c r="L20">
        <f t="shared" si="2"/>
        <v>1</v>
      </c>
      <c r="M20">
        <v>62</v>
      </c>
      <c r="N20">
        <v>519</v>
      </c>
      <c r="O20">
        <f t="shared" si="3"/>
        <v>0</v>
      </c>
      <c r="P20">
        <v>0.65400000000000003</v>
      </c>
    </row>
    <row r="21" spans="1:16" x14ac:dyDescent="0.2">
      <c r="A21" t="s">
        <v>56</v>
      </c>
      <c r="B21" t="s">
        <v>17</v>
      </c>
      <c r="C21" t="s">
        <v>18</v>
      </c>
      <c r="D21">
        <v>20</v>
      </c>
      <c r="E21">
        <v>449</v>
      </c>
      <c r="F21">
        <v>5105160</v>
      </c>
      <c r="G21" t="s">
        <v>57</v>
      </c>
      <c r="H21">
        <f t="shared" si="0"/>
        <v>0</v>
      </c>
      <c r="I21">
        <v>25</v>
      </c>
      <c r="J21">
        <v>0.89743589743589747</v>
      </c>
      <c r="K21">
        <f t="shared" si="1"/>
        <v>0</v>
      </c>
      <c r="L21">
        <f t="shared" si="2"/>
        <v>1</v>
      </c>
      <c r="M21">
        <v>38</v>
      </c>
      <c r="N21">
        <v>257</v>
      </c>
      <c r="O21">
        <f t="shared" si="3"/>
        <v>0</v>
      </c>
      <c r="P21">
        <v>0.63600000000000001</v>
      </c>
    </row>
    <row r="22" spans="1:16" x14ac:dyDescent="0.2">
      <c r="A22" t="s">
        <v>58</v>
      </c>
      <c r="B22" t="s">
        <v>17</v>
      </c>
      <c r="C22" t="s">
        <v>18</v>
      </c>
      <c r="D22">
        <v>31</v>
      </c>
      <c r="E22">
        <v>48</v>
      </c>
      <c r="F22">
        <v>5005350</v>
      </c>
      <c r="G22" t="s">
        <v>59</v>
      </c>
      <c r="H22">
        <f t="shared" si="0"/>
        <v>0</v>
      </c>
      <c r="I22">
        <v>13</v>
      </c>
      <c r="J22">
        <v>3</v>
      </c>
      <c r="K22">
        <f t="shared" si="1"/>
        <v>0</v>
      </c>
      <c r="L22">
        <f t="shared" si="2"/>
        <v>1</v>
      </c>
      <c r="M22">
        <v>13</v>
      </c>
      <c r="N22">
        <v>115</v>
      </c>
      <c r="O22">
        <f t="shared" si="3"/>
        <v>0</v>
      </c>
      <c r="P22">
        <v>0.432</v>
      </c>
    </row>
    <row r="23" spans="1:16" x14ac:dyDescent="0.2">
      <c r="A23" t="s">
        <v>60</v>
      </c>
      <c r="B23" t="s">
        <v>17</v>
      </c>
      <c r="C23" t="s">
        <v>18</v>
      </c>
      <c r="D23">
        <v>27</v>
      </c>
      <c r="E23">
        <v>869</v>
      </c>
      <c r="F23">
        <v>5005350</v>
      </c>
      <c r="G23" t="s">
        <v>61</v>
      </c>
      <c r="H23">
        <f t="shared" si="0"/>
        <v>0</v>
      </c>
      <c r="I23">
        <v>39</v>
      </c>
      <c r="J23">
        <v>1.3466666666666667</v>
      </c>
      <c r="K23">
        <f t="shared" si="1"/>
        <v>0</v>
      </c>
      <c r="L23">
        <f t="shared" si="2"/>
        <v>1</v>
      </c>
      <c r="M23">
        <v>96</v>
      </c>
      <c r="N23">
        <v>504</v>
      </c>
      <c r="O23">
        <f t="shared" si="3"/>
        <v>0</v>
      </c>
      <c r="P23">
        <v>0.63800000000000001</v>
      </c>
    </row>
    <row r="24" spans="1:16" x14ac:dyDescent="0.2">
      <c r="A24" t="s">
        <v>62</v>
      </c>
      <c r="B24" t="s">
        <v>17</v>
      </c>
      <c r="C24" t="s">
        <v>18</v>
      </c>
      <c r="D24">
        <v>28</v>
      </c>
      <c r="E24">
        <v>806</v>
      </c>
      <c r="F24">
        <v>5005350</v>
      </c>
      <c r="G24" t="s">
        <v>63</v>
      </c>
      <c r="H24">
        <f t="shared" si="0"/>
        <v>0</v>
      </c>
      <c r="I24">
        <v>33</v>
      </c>
      <c r="J24">
        <v>1.0769230769230769</v>
      </c>
      <c r="K24">
        <f t="shared" si="1"/>
        <v>0</v>
      </c>
      <c r="L24">
        <f t="shared" si="2"/>
        <v>1</v>
      </c>
      <c r="M24">
        <v>48</v>
      </c>
      <c r="N24">
        <v>795</v>
      </c>
      <c r="O24">
        <f t="shared" si="3"/>
        <v>0</v>
      </c>
      <c r="P24">
        <v>0.60499999999999998</v>
      </c>
    </row>
    <row r="25" spans="1:16" x14ac:dyDescent="0.2">
      <c r="A25" t="s">
        <v>64</v>
      </c>
      <c r="B25" t="s">
        <v>17</v>
      </c>
      <c r="C25" t="s">
        <v>18</v>
      </c>
      <c r="D25">
        <v>24</v>
      </c>
      <c r="E25">
        <v>251</v>
      </c>
      <c r="F25">
        <v>4464226</v>
      </c>
      <c r="G25" t="s">
        <v>65</v>
      </c>
      <c r="H25">
        <f t="shared" si="0"/>
        <v>0</v>
      </c>
      <c r="I25">
        <v>21</v>
      </c>
      <c r="J25">
        <v>3.2162162162162162</v>
      </c>
      <c r="K25">
        <f t="shared" si="1"/>
        <v>0</v>
      </c>
      <c r="L25">
        <f t="shared" si="2"/>
        <v>1</v>
      </c>
      <c r="M25">
        <v>22</v>
      </c>
      <c r="N25">
        <v>322</v>
      </c>
      <c r="O25">
        <f t="shared" si="3"/>
        <v>0</v>
      </c>
      <c r="P25">
        <v>0.55800000000000005</v>
      </c>
    </row>
    <row r="26" spans="1:16" x14ac:dyDescent="0.2">
      <c r="A26" t="s">
        <v>66</v>
      </c>
      <c r="B26" t="s">
        <v>17</v>
      </c>
      <c r="C26" t="s">
        <v>18</v>
      </c>
      <c r="D26">
        <v>27</v>
      </c>
      <c r="E26">
        <v>280</v>
      </c>
      <c r="F26">
        <v>4100000</v>
      </c>
      <c r="G26" t="s">
        <v>67</v>
      </c>
      <c r="H26">
        <f t="shared" si="0"/>
        <v>0</v>
      </c>
      <c r="I26">
        <v>21</v>
      </c>
      <c r="J26">
        <v>1.2068965517241379</v>
      </c>
      <c r="K26">
        <f t="shared" si="1"/>
        <v>0</v>
      </c>
      <c r="L26">
        <f t="shared" si="2"/>
        <v>1</v>
      </c>
      <c r="M26">
        <v>43</v>
      </c>
      <c r="N26">
        <v>236</v>
      </c>
      <c r="O26">
        <f t="shared" si="3"/>
        <v>0</v>
      </c>
      <c r="P26">
        <v>0.63500000000000001</v>
      </c>
    </row>
    <row r="27" spans="1:16" x14ac:dyDescent="0.2">
      <c r="A27" t="s">
        <v>68</v>
      </c>
      <c r="B27" t="s">
        <v>17</v>
      </c>
      <c r="C27" t="s">
        <v>18</v>
      </c>
      <c r="D27">
        <v>32</v>
      </c>
      <c r="E27">
        <v>156</v>
      </c>
      <c r="F27">
        <v>3500000</v>
      </c>
      <c r="G27" t="s">
        <v>69</v>
      </c>
      <c r="H27">
        <f t="shared" si="0"/>
        <v>0</v>
      </c>
      <c r="I27">
        <v>2</v>
      </c>
      <c r="J27">
        <v>0.83333333333333337</v>
      </c>
      <c r="K27">
        <f t="shared" si="1"/>
        <v>0</v>
      </c>
      <c r="L27">
        <f t="shared" si="2"/>
        <v>1</v>
      </c>
      <c r="M27">
        <v>6</v>
      </c>
      <c r="N27">
        <v>128</v>
      </c>
      <c r="O27">
        <f t="shared" si="3"/>
        <v>0</v>
      </c>
      <c r="P27">
        <v>0.51200000000000001</v>
      </c>
    </row>
    <row r="28" spans="1:16" x14ac:dyDescent="0.2">
      <c r="A28" t="s">
        <v>70</v>
      </c>
      <c r="B28" t="s">
        <v>17</v>
      </c>
      <c r="C28" t="s">
        <v>18</v>
      </c>
      <c r="D28">
        <v>36</v>
      </c>
      <c r="E28">
        <v>262</v>
      </c>
      <c r="F28">
        <v>2564753</v>
      </c>
      <c r="G28" t="s">
        <v>71</v>
      </c>
      <c r="H28">
        <f t="shared" si="0"/>
        <v>0</v>
      </c>
      <c r="I28">
        <v>26</v>
      </c>
      <c r="J28">
        <v>2.0566037735849059</v>
      </c>
      <c r="K28">
        <f t="shared" si="1"/>
        <v>0</v>
      </c>
      <c r="L28">
        <f t="shared" si="2"/>
        <v>1</v>
      </c>
      <c r="M28">
        <v>58</v>
      </c>
      <c r="N28">
        <v>215</v>
      </c>
      <c r="O28">
        <f t="shared" si="3"/>
        <v>0</v>
      </c>
      <c r="P28">
        <v>0.58199999999999996</v>
      </c>
    </row>
    <row r="29" spans="1:16" x14ac:dyDescent="0.2">
      <c r="A29" t="s">
        <v>72</v>
      </c>
      <c r="B29" t="s">
        <v>17</v>
      </c>
      <c r="C29" t="s">
        <v>18</v>
      </c>
      <c r="D29">
        <v>29</v>
      </c>
      <c r="E29">
        <v>339</v>
      </c>
      <c r="F29">
        <v>2283034</v>
      </c>
      <c r="G29" t="s">
        <v>73</v>
      </c>
      <c r="H29">
        <f t="shared" si="0"/>
        <v>0</v>
      </c>
      <c r="I29">
        <v>8</v>
      </c>
      <c r="J29">
        <v>1.3333333333333333</v>
      </c>
      <c r="K29">
        <f t="shared" si="1"/>
        <v>0</v>
      </c>
      <c r="L29">
        <f t="shared" si="2"/>
        <v>1</v>
      </c>
      <c r="M29">
        <v>11</v>
      </c>
      <c r="N29">
        <v>132</v>
      </c>
      <c r="O29">
        <f t="shared" si="3"/>
        <v>0</v>
      </c>
      <c r="P29">
        <v>0.57299999999999995</v>
      </c>
    </row>
    <row r="30" spans="1:16" x14ac:dyDescent="0.2">
      <c r="A30" t="s">
        <v>74</v>
      </c>
      <c r="B30" t="s">
        <v>17</v>
      </c>
      <c r="C30" t="s">
        <v>18</v>
      </c>
      <c r="D30">
        <v>21</v>
      </c>
      <c r="E30">
        <v>16</v>
      </c>
      <c r="F30">
        <v>1977000</v>
      </c>
      <c r="G30" t="s">
        <v>75</v>
      </c>
      <c r="H30">
        <f t="shared" si="0"/>
        <v>0</v>
      </c>
      <c r="I30">
        <v>1</v>
      </c>
      <c r="J30">
        <v>0</v>
      </c>
      <c r="K30">
        <f t="shared" si="1"/>
        <v>0</v>
      </c>
      <c r="L30">
        <f t="shared" si="2"/>
        <v>1</v>
      </c>
      <c r="M30">
        <v>4</v>
      </c>
      <c r="N30">
        <v>13</v>
      </c>
      <c r="O30">
        <f t="shared" si="3"/>
        <v>0</v>
      </c>
      <c r="P30">
        <v>0.44400000000000001</v>
      </c>
    </row>
    <row r="31" spans="1:16" x14ac:dyDescent="0.2">
      <c r="A31" t="s">
        <v>76</v>
      </c>
      <c r="B31" t="s">
        <v>17</v>
      </c>
      <c r="C31" t="s">
        <v>18</v>
      </c>
      <c r="D31">
        <v>22</v>
      </c>
      <c r="E31">
        <v>108</v>
      </c>
      <c r="F31">
        <v>1620564</v>
      </c>
      <c r="G31" t="s">
        <v>77</v>
      </c>
      <c r="H31">
        <f t="shared" si="0"/>
        <v>0</v>
      </c>
      <c r="I31">
        <v>8</v>
      </c>
      <c r="J31">
        <v>1.45</v>
      </c>
      <c r="K31">
        <f t="shared" si="1"/>
        <v>0</v>
      </c>
      <c r="L31">
        <f t="shared" si="2"/>
        <v>1</v>
      </c>
      <c r="M31">
        <v>13</v>
      </c>
      <c r="N31">
        <v>133</v>
      </c>
      <c r="O31">
        <f t="shared" si="3"/>
        <v>0</v>
      </c>
      <c r="P31">
        <v>0.47399999999999998</v>
      </c>
    </row>
    <row r="32" spans="1:16" x14ac:dyDescent="0.2">
      <c r="A32" t="s">
        <v>78</v>
      </c>
      <c r="B32" t="s">
        <v>17</v>
      </c>
      <c r="C32" t="s">
        <v>18</v>
      </c>
      <c r="D32">
        <v>27</v>
      </c>
      <c r="E32">
        <v>310</v>
      </c>
      <c r="F32">
        <v>1620564</v>
      </c>
      <c r="G32" t="s">
        <v>79</v>
      </c>
      <c r="H32">
        <f t="shared" si="0"/>
        <v>0</v>
      </c>
      <c r="I32">
        <v>14</v>
      </c>
      <c r="J32">
        <v>3.5909090909090908</v>
      </c>
      <c r="K32">
        <f t="shared" si="1"/>
        <v>0</v>
      </c>
      <c r="L32">
        <f t="shared" si="2"/>
        <v>1</v>
      </c>
      <c r="M32">
        <v>17</v>
      </c>
      <c r="N32">
        <v>188</v>
      </c>
      <c r="O32">
        <f t="shared" si="3"/>
        <v>0</v>
      </c>
      <c r="P32">
        <v>0.53100000000000003</v>
      </c>
    </row>
    <row r="33" spans="1:16" x14ac:dyDescent="0.2">
      <c r="A33" t="s">
        <v>80</v>
      </c>
      <c r="B33" t="s">
        <v>17</v>
      </c>
      <c r="C33" t="s">
        <v>18</v>
      </c>
      <c r="D33">
        <v>26</v>
      </c>
      <c r="E33">
        <v>365</v>
      </c>
      <c r="F33">
        <v>1620564</v>
      </c>
      <c r="G33" t="s">
        <v>81</v>
      </c>
      <c r="H33">
        <f t="shared" si="0"/>
        <v>0</v>
      </c>
      <c r="I33">
        <v>22</v>
      </c>
      <c r="J33">
        <v>1.4705882352941178</v>
      </c>
      <c r="K33">
        <f t="shared" si="1"/>
        <v>0</v>
      </c>
      <c r="L33">
        <f t="shared" si="2"/>
        <v>1</v>
      </c>
      <c r="M33">
        <v>23</v>
      </c>
      <c r="N33">
        <v>334</v>
      </c>
      <c r="O33">
        <f t="shared" si="3"/>
        <v>0</v>
      </c>
      <c r="P33">
        <v>0.56499999999999995</v>
      </c>
    </row>
    <row r="34" spans="1:16" x14ac:dyDescent="0.2">
      <c r="A34" t="s">
        <v>82</v>
      </c>
      <c r="B34" t="s">
        <v>17</v>
      </c>
      <c r="C34" t="s">
        <v>18</v>
      </c>
      <c r="D34">
        <v>31</v>
      </c>
      <c r="E34">
        <v>293</v>
      </c>
      <c r="F34">
        <v>1620564</v>
      </c>
      <c r="G34" t="s">
        <v>83</v>
      </c>
      <c r="H34">
        <f t="shared" si="0"/>
        <v>0</v>
      </c>
      <c r="I34">
        <v>9</v>
      </c>
      <c r="J34">
        <v>0.5</v>
      </c>
      <c r="K34">
        <f t="shared" si="1"/>
        <v>0</v>
      </c>
      <c r="L34">
        <f t="shared" si="2"/>
        <v>1</v>
      </c>
      <c r="M34">
        <v>46</v>
      </c>
      <c r="N34">
        <v>215</v>
      </c>
      <c r="O34">
        <f t="shared" si="3"/>
        <v>0</v>
      </c>
      <c r="P34">
        <v>0.56299999999999994</v>
      </c>
    </row>
    <row r="35" spans="1:16" x14ac:dyDescent="0.2">
      <c r="A35" t="s">
        <v>84</v>
      </c>
      <c r="B35" t="s">
        <v>17</v>
      </c>
      <c r="C35" t="s">
        <v>18</v>
      </c>
      <c r="D35">
        <v>23</v>
      </c>
      <c r="E35">
        <v>311</v>
      </c>
      <c r="F35">
        <v>1620564</v>
      </c>
      <c r="G35" t="s">
        <v>85</v>
      </c>
      <c r="H35">
        <f t="shared" si="0"/>
        <v>0</v>
      </c>
      <c r="I35">
        <v>18</v>
      </c>
      <c r="J35">
        <v>0.93333333333333335</v>
      </c>
      <c r="K35">
        <f t="shared" si="1"/>
        <v>0</v>
      </c>
      <c r="L35">
        <f t="shared" si="2"/>
        <v>1</v>
      </c>
      <c r="M35">
        <v>49</v>
      </c>
      <c r="N35">
        <v>241</v>
      </c>
      <c r="O35">
        <f t="shared" si="3"/>
        <v>0</v>
      </c>
      <c r="P35">
        <v>0.57099999999999995</v>
      </c>
    </row>
    <row r="36" spans="1:16" x14ac:dyDescent="0.2">
      <c r="A36" t="s">
        <v>86</v>
      </c>
      <c r="B36" t="s">
        <v>17</v>
      </c>
      <c r="C36" t="s">
        <v>18</v>
      </c>
      <c r="D36">
        <v>21</v>
      </c>
      <c r="E36">
        <v>784</v>
      </c>
      <c r="F36">
        <v>1517981</v>
      </c>
      <c r="G36" t="s">
        <v>87</v>
      </c>
      <c r="H36">
        <f t="shared" si="0"/>
        <v>0</v>
      </c>
      <c r="I36">
        <v>34</v>
      </c>
      <c r="J36">
        <v>1.0434782608695652</v>
      </c>
      <c r="K36">
        <f t="shared" si="1"/>
        <v>0</v>
      </c>
      <c r="L36">
        <f t="shared" si="2"/>
        <v>1</v>
      </c>
      <c r="M36">
        <v>76</v>
      </c>
      <c r="N36">
        <v>322</v>
      </c>
      <c r="O36">
        <f t="shared" si="3"/>
        <v>0</v>
      </c>
      <c r="P36">
        <v>0.57599999999999996</v>
      </c>
    </row>
    <row r="37" spans="1:16" x14ac:dyDescent="0.2">
      <c r="A37" t="s">
        <v>88</v>
      </c>
      <c r="B37" t="s">
        <v>17</v>
      </c>
      <c r="C37" t="s">
        <v>18</v>
      </c>
      <c r="D37">
        <v>21</v>
      </c>
      <c r="E37">
        <v>54</v>
      </c>
      <c r="F37">
        <v>898310</v>
      </c>
      <c r="G37" t="s">
        <v>89</v>
      </c>
      <c r="H37">
        <f t="shared" si="0"/>
        <v>0</v>
      </c>
      <c r="I37">
        <v>4</v>
      </c>
      <c r="J37">
        <v>1.1111111111111112</v>
      </c>
      <c r="K37">
        <f t="shared" si="1"/>
        <v>0</v>
      </c>
      <c r="L37">
        <f t="shared" si="2"/>
        <v>1</v>
      </c>
      <c r="M37">
        <v>7</v>
      </c>
      <c r="N37">
        <v>48</v>
      </c>
      <c r="O37">
        <f t="shared" si="3"/>
        <v>0</v>
      </c>
      <c r="P37">
        <v>0.433</v>
      </c>
    </row>
    <row r="38" spans="1:16" x14ac:dyDescent="0.2">
      <c r="A38" t="s">
        <v>90</v>
      </c>
      <c r="B38" t="s">
        <v>17</v>
      </c>
      <c r="C38" t="s">
        <v>18</v>
      </c>
      <c r="D38">
        <v>23</v>
      </c>
      <c r="E38">
        <v>226</v>
      </c>
      <c r="F38">
        <v>700000</v>
      </c>
      <c r="G38" t="s">
        <v>91</v>
      </c>
      <c r="H38">
        <f t="shared" si="0"/>
        <v>0</v>
      </c>
      <c r="I38">
        <v>14</v>
      </c>
      <c r="J38">
        <v>0.96551724137931039</v>
      </c>
      <c r="K38">
        <f t="shared" si="1"/>
        <v>0</v>
      </c>
      <c r="L38">
        <f t="shared" si="2"/>
        <v>1</v>
      </c>
      <c r="M38">
        <v>18</v>
      </c>
      <c r="N38">
        <v>112</v>
      </c>
      <c r="O38">
        <f t="shared" si="3"/>
        <v>0</v>
      </c>
      <c r="P38">
        <v>0.54500000000000004</v>
      </c>
    </row>
    <row r="39" spans="1:16" x14ac:dyDescent="0.2">
      <c r="A39" t="s">
        <v>92</v>
      </c>
      <c r="B39" t="s">
        <v>17</v>
      </c>
      <c r="C39" t="s">
        <v>18</v>
      </c>
      <c r="D39">
        <v>22</v>
      </c>
      <c r="E39">
        <v>57</v>
      </c>
      <c r="F39">
        <v>449155</v>
      </c>
      <c r="G39" t="s">
        <v>93</v>
      </c>
      <c r="H39">
        <f t="shared" si="0"/>
        <v>0</v>
      </c>
      <c r="I39">
        <v>5</v>
      </c>
      <c r="J39">
        <v>4</v>
      </c>
      <c r="K39">
        <f t="shared" si="1"/>
        <v>0</v>
      </c>
      <c r="L39">
        <f t="shared" si="2"/>
        <v>1</v>
      </c>
      <c r="M39">
        <v>8</v>
      </c>
      <c r="N39">
        <v>24</v>
      </c>
      <c r="O39">
        <f t="shared" si="3"/>
        <v>0</v>
      </c>
      <c r="P39">
        <v>0.42099999999999999</v>
      </c>
    </row>
    <row r="40" spans="1:16" x14ac:dyDescent="0.2">
      <c r="A40" t="s">
        <v>94</v>
      </c>
      <c r="B40" t="s">
        <v>17</v>
      </c>
      <c r="C40" t="s">
        <v>18</v>
      </c>
      <c r="D40">
        <v>21</v>
      </c>
      <c r="E40">
        <v>370</v>
      </c>
      <c r="F40">
        <v>449155</v>
      </c>
      <c r="G40" t="s">
        <v>95</v>
      </c>
      <c r="H40">
        <f t="shared" si="0"/>
        <v>0</v>
      </c>
      <c r="I40">
        <v>31</v>
      </c>
      <c r="J40">
        <v>0.23255813953488372</v>
      </c>
      <c r="K40">
        <f t="shared" si="1"/>
        <v>0</v>
      </c>
      <c r="L40">
        <f t="shared" si="2"/>
        <v>1</v>
      </c>
      <c r="M40">
        <v>47</v>
      </c>
      <c r="N40">
        <v>383</v>
      </c>
      <c r="O40">
        <f t="shared" si="3"/>
        <v>0</v>
      </c>
      <c r="P40">
        <v>0.54500000000000004</v>
      </c>
    </row>
    <row r="41" spans="1:16" x14ac:dyDescent="0.2">
      <c r="A41" t="s">
        <v>96</v>
      </c>
      <c r="B41" t="s">
        <v>17</v>
      </c>
      <c r="C41" t="s">
        <v>97</v>
      </c>
      <c r="D41">
        <v>30</v>
      </c>
      <c r="E41">
        <v>1639</v>
      </c>
      <c r="F41">
        <v>26000000</v>
      </c>
      <c r="G41" t="s">
        <v>98</v>
      </c>
      <c r="H41">
        <f t="shared" si="0"/>
        <v>0</v>
      </c>
      <c r="I41">
        <v>65</v>
      </c>
      <c r="J41">
        <v>2.1349206349206349</v>
      </c>
      <c r="K41">
        <f t="shared" si="1"/>
        <v>0</v>
      </c>
      <c r="L41">
        <f t="shared" si="2"/>
        <v>0</v>
      </c>
      <c r="M41">
        <v>48</v>
      </c>
      <c r="N41">
        <v>817</v>
      </c>
      <c r="O41">
        <f t="shared" si="3"/>
        <v>0</v>
      </c>
      <c r="P41">
        <v>0.54</v>
      </c>
    </row>
    <row r="42" spans="1:16" x14ac:dyDescent="0.2">
      <c r="A42" t="s">
        <v>99</v>
      </c>
      <c r="B42" t="s">
        <v>17</v>
      </c>
      <c r="C42" t="s">
        <v>97</v>
      </c>
      <c r="D42">
        <v>35</v>
      </c>
      <c r="E42">
        <v>352</v>
      </c>
      <c r="F42">
        <v>24000000</v>
      </c>
      <c r="G42" t="s">
        <v>100</v>
      </c>
      <c r="H42">
        <f t="shared" si="0"/>
        <v>0</v>
      </c>
      <c r="I42">
        <v>11</v>
      </c>
      <c r="J42">
        <v>1.8148148148148149</v>
      </c>
      <c r="K42">
        <f t="shared" si="1"/>
        <v>0</v>
      </c>
      <c r="L42">
        <f t="shared" si="2"/>
        <v>0</v>
      </c>
      <c r="M42">
        <v>29</v>
      </c>
      <c r="N42">
        <v>118</v>
      </c>
      <c r="O42">
        <f t="shared" si="3"/>
        <v>0</v>
      </c>
      <c r="P42">
        <v>0.52500000000000002</v>
      </c>
    </row>
    <row r="43" spans="1:16" x14ac:dyDescent="0.2">
      <c r="A43" t="s">
        <v>101</v>
      </c>
      <c r="B43" t="s">
        <v>17</v>
      </c>
      <c r="C43" t="s">
        <v>97</v>
      </c>
      <c r="D43">
        <v>21</v>
      </c>
      <c r="E43">
        <v>606</v>
      </c>
      <c r="F43">
        <v>5448840</v>
      </c>
      <c r="G43" t="s">
        <v>102</v>
      </c>
      <c r="H43">
        <f t="shared" si="0"/>
        <v>0</v>
      </c>
      <c r="I43">
        <v>35</v>
      </c>
      <c r="J43">
        <v>1.3333333333333333</v>
      </c>
      <c r="K43">
        <f t="shared" si="1"/>
        <v>0</v>
      </c>
      <c r="L43">
        <f t="shared" si="2"/>
        <v>0</v>
      </c>
      <c r="M43">
        <v>42</v>
      </c>
      <c r="N43">
        <v>443</v>
      </c>
      <c r="O43">
        <f t="shared" si="3"/>
        <v>0</v>
      </c>
      <c r="P43">
        <v>0.52</v>
      </c>
    </row>
    <row r="44" spans="1:16" x14ac:dyDescent="0.2">
      <c r="A44" t="s">
        <v>103</v>
      </c>
      <c r="B44" t="s">
        <v>17</v>
      </c>
      <c r="C44" t="s">
        <v>97</v>
      </c>
      <c r="D44">
        <v>28</v>
      </c>
      <c r="E44">
        <v>627</v>
      </c>
      <c r="F44">
        <v>5000000</v>
      </c>
      <c r="G44" t="s">
        <v>104</v>
      </c>
      <c r="H44">
        <f t="shared" si="0"/>
        <v>0</v>
      </c>
      <c r="I44">
        <v>41</v>
      </c>
      <c r="J44">
        <v>1.6363636363636365</v>
      </c>
      <c r="K44">
        <f t="shared" si="1"/>
        <v>0</v>
      </c>
      <c r="L44">
        <f t="shared" si="2"/>
        <v>0</v>
      </c>
      <c r="M44">
        <v>57</v>
      </c>
      <c r="N44">
        <v>356</v>
      </c>
      <c r="O44">
        <f t="shared" si="3"/>
        <v>0</v>
      </c>
      <c r="P44">
        <v>0.59299999999999997</v>
      </c>
    </row>
    <row r="45" spans="1:16" x14ac:dyDescent="0.2">
      <c r="A45" t="s">
        <v>105</v>
      </c>
      <c r="B45" t="s">
        <v>17</v>
      </c>
      <c r="C45" t="s">
        <v>97</v>
      </c>
      <c r="D45">
        <v>33</v>
      </c>
      <c r="E45">
        <v>337</v>
      </c>
      <c r="F45">
        <v>4200000</v>
      </c>
      <c r="G45" t="s">
        <v>106</v>
      </c>
      <c r="H45">
        <f t="shared" si="0"/>
        <v>0</v>
      </c>
      <c r="I45">
        <v>19</v>
      </c>
      <c r="J45">
        <v>0.65</v>
      </c>
      <c r="K45">
        <f t="shared" si="1"/>
        <v>0</v>
      </c>
      <c r="L45">
        <f t="shared" si="2"/>
        <v>0</v>
      </c>
      <c r="M45">
        <v>54</v>
      </c>
      <c r="N45">
        <v>239</v>
      </c>
      <c r="O45">
        <f t="shared" si="3"/>
        <v>0</v>
      </c>
      <c r="P45">
        <v>0.52</v>
      </c>
    </row>
    <row r="46" spans="1:16" x14ac:dyDescent="0.2">
      <c r="A46" t="s">
        <v>107</v>
      </c>
      <c r="B46" t="s">
        <v>17</v>
      </c>
      <c r="C46" t="s">
        <v>97</v>
      </c>
      <c r="D46">
        <v>22</v>
      </c>
      <c r="E46">
        <v>806</v>
      </c>
      <c r="F46">
        <v>3909902</v>
      </c>
      <c r="G46" t="s">
        <v>108</v>
      </c>
      <c r="H46">
        <f t="shared" si="0"/>
        <v>0</v>
      </c>
      <c r="I46">
        <v>32</v>
      </c>
      <c r="J46">
        <v>1.06</v>
      </c>
      <c r="K46">
        <f t="shared" si="1"/>
        <v>0</v>
      </c>
      <c r="L46">
        <f t="shared" si="2"/>
        <v>0</v>
      </c>
      <c r="M46">
        <v>90</v>
      </c>
      <c r="N46">
        <v>631</v>
      </c>
      <c r="O46">
        <f t="shared" si="3"/>
        <v>0</v>
      </c>
      <c r="P46">
        <v>0.624</v>
      </c>
    </row>
    <row r="47" spans="1:16" x14ac:dyDescent="0.2">
      <c r="A47" t="s">
        <v>109</v>
      </c>
      <c r="B47" t="s">
        <v>17</v>
      </c>
      <c r="C47" t="s">
        <v>97</v>
      </c>
      <c r="D47">
        <v>23</v>
      </c>
      <c r="E47">
        <v>300</v>
      </c>
      <c r="F47">
        <v>3542060</v>
      </c>
      <c r="G47" t="s">
        <v>110</v>
      </c>
      <c r="H47">
        <f t="shared" si="0"/>
        <v>0</v>
      </c>
      <c r="I47">
        <v>15</v>
      </c>
      <c r="J47">
        <v>1.1212121212121211</v>
      </c>
      <c r="K47">
        <f t="shared" si="1"/>
        <v>0</v>
      </c>
      <c r="L47">
        <f t="shared" si="2"/>
        <v>0</v>
      </c>
      <c r="M47">
        <v>30</v>
      </c>
      <c r="N47">
        <v>239</v>
      </c>
      <c r="O47">
        <f t="shared" si="3"/>
        <v>0</v>
      </c>
      <c r="P47">
        <v>0.66500000000000004</v>
      </c>
    </row>
    <row r="48" spans="1:16" x14ac:dyDescent="0.2">
      <c r="A48" t="s">
        <v>111</v>
      </c>
      <c r="B48" t="s">
        <v>17</v>
      </c>
      <c r="C48" t="s">
        <v>97</v>
      </c>
      <c r="D48">
        <v>28</v>
      </c>
      <c r="E48">
        <v>482</v>
      </c>
      <c r="F48">
        <v>3000000</v>
      </c>
      <c r="G48" t="s">
        <v>112</v>
      </c>
      <c r="H48">
        <f t="shared" si="0"/>
        <v>0</v>
      </c>
      <c r="I48">
        <v>48</v>
      </c>
      <c r="J48">
        <v>2.0227272727272729</v>
      </c>
      <c r="K48">
        <f t="shared" si="1"/>
        <v>0</v>
      </c>
      <c r="L48">
        <f t="shared" si="2"/>
        <v>0</v>
      </c>
      <c r="M48">
        <v>50</v>
      </c>
      <c r="N48">
        <v>387</v>
      </c>
      <c r="O48">
        <f t="shared" si="3"/>
        <v>0</v>
      </c>
      <c r="P48">
        <v>0.51400000000000001</v>
      </c>
    </row>
    <row r="49" spans="1:16" x14ac:dyDescent="0.2">
      <c r="A49" t="s">
        <v>113</v>
      </c>
      <c r="B49" t="s">
        <v>17</v>
      </c>
      <c r="C49" t="s">
        <v>97</v>
      </c>
      <c r="D49">
        <v>25</v>
      </c>
      <c r="E49">
        <v>106</v>
      </c>
      <c r="F49">
        <v>2250000</v>
      </c>
      <c r="G49" t="s">
        <v>114</v>
      </c>
      <c r="H49">
        <f t="shared" si="0"/>
        <v>0</v>
      </c>
      <c r="I49">
        <v>4</v>
      </c>
      <c r="J49">
        <v>3.4285714285714284</v>
      </c>
      <c r="K49">
        <f t="shared" si="1"/>
        <v>0</v>
      </c>
      <c r="L49">
        <f t="shared" si="2"/>
        <v>0</v>
      </c>
      <c r="M49">
        <v>32</v>
      </c>
      <c r="N49">
        <v>67</v>
      </c>
      <c r="O49">
        <f t="shared" si="3"/>
        <v>0</v>
      </c>
      <c r="P49">
        <v>0.51</v>
      </c>
    </row>
    <row r="50" spans="1:16" x14ac:dyDescent="0.2">
      <c r="A50" t="s">
        <v>115</v>
      </c>
      <c r="B50" t="s">
        <v>17</v>
      </c>
      <c r="C50" t="s">
        <v>97</v>
      </c>
      <c r="D50">
        <v>22</v>
      </c>
      <c r="E50">
        <v>236</v>
      </c>
      <c r="F50">
        <v>1620564</v>
      </c>
      <c r="G50" t="s">
        <v>116</v>
      </c>
      <c r="H50">
        <f t="shared" si="0"/>
        <v>0</v>
      </c>
      <c r="I50">
        <v>19</v>
      </c>
      <c r="J50">
        <v>1.25</v>
      </c>
      <c r="K50">
        <f t="shared" si="1"/>
        <v>0</v>
      </c>
      <c r="L50">
        <f t="shared" si="2"/>
        <v>0</v>
      </c>
      <c r="M50">
        <v>39</v>
      </c>
      <c r="N50">
        <v>181</v>
      </c>
      <c r="O50">
        <f t="shared" si="3"/>
        <v>0</v>
      </c>
      <c r="P50">
        <v>0.55600000000000005</v>
      </c>
    </row>
    <row r="51" spans="1:16" x14ac:dyDescent="0.2">
      <c r="A51" t="s">
        <v>117</v>
      </c>
      <c r="B51" t="s">
        <v>17</v>
      </c>
      <c r="C51" t="s">
        <v>97</v>
      </c>
      <c r="D51">
        <v>22</v>
      </c>
      <c r="E51">
        <v>380</v>
      </c>
      <c r="F51">
        <v>1517981</v>
      </c>
      <c r="G51" t="s">
        <v>118</v>
      </c>
      <c r="H51">
        <f t="shared" si="0"/>
        <v>0</v>
      </c>
      <c r="I51">
        <v>26</v>
      </c>
      <c r="J51">
        <v>0.70731707317073167</v>
      </c>
      <c r="K51">
        <f t="shared" si="1"/>
        <v>0</v>
      </c>
      <c r="L51">
        <f t="shared" si="2"/>
        <v>0</v>
      </c>
      <c r="M51">
        <v>75</v>
      </c>
      <c r="N51">
        <v>231</v>
      </c>
      <c r="O51">
        <f t="shared" si="3"/>
        <v>0</v>
      </c>
      <c r="P51">
        <v>0.68400000000000005</v>
      </c>
    </row>
    <row r="52" spans="1:16" x14ac:dyDescent="0.2">
      <c r="A52" t="s">
        <v>119</v>
      </c>
      <c r="B52" t="s">
        <v>17</v>
      </c>
      <c r="C52" t="s">
        <v>97</v>
      </c>
      <c r="D52">
        <v>27</v>
      </c>
      <c r="E52">
        <v>423</v>
      </c>
      <c r="F52">
        <v>1265372</v>
      </c>
      <c r="G52" t="s">
        <v>120</v>
      </c>
      <c r="H52">
        <f t="shared" si="0"/>
        <v>0</v>
      </c>
      <c r="I52">
        <v>20</v>
      </c>
      <c r="J52">
        <v>0.89090909090909087</v>
      </c>
      <c r="K52">
        <f t="shared" si="1"/>
        <v>0</v>
      </c>
      <c r="L52">
        <f t="shared" si="2"/>
        <v>0</v>
      </c>
      <c r="M52">
        <v>64</v>
      </c>
      <c r="N52">
        <v>260</v>
      </c>
      <c r="O52">
        <f t="shared" si="3"/>
        <v>0</v>
      </c>
      <c r="P52">
        <v>0.629</v>
      </c>
    </row>
    <row r="53" spans="1:16" x14ac:dyDescent="0.2">
      <c r="A53" t="s">
        <v>121</v>
      </c>
      <c r="B53" t="s">
        <v>17</v>
      </c>
      <c r="C53" t="s">
        <v>97</v>
      </c>
      <c r="D53">
        <v>31</v>
      </c>
      <c r="E53">
        <v>258</v>
      </c>
      <c r="F53">
        <v>1000000</v>
      </c>
      <c r="G53" t="s">
        <v>122</v>
      </c>
      <c r="H53">
        <f t="shared" si="0"/>
        <v>0</v>
      </c>
      <c r="I53">
        <v>26</v>
      </c>
      <c r="J53">
        <v>1.5</v>
      </c>
      <c r="K53">
        <f t="shared" si="1"/>
        <v>0</v>
      </c>
      <c r="L53">
        <f t="shared" si="2"/>
        <v>0</v>
      </c>
      <c r="M53">
        <v>16</v>
      </c>
      <c r="N53">
        <v>140</v>
      </c>
      <c r="O53">
        <f t="shared" si="3"/>
        <v>0</v>
      </c>
      <c r="P53">
        <v>0.61299999999999999</v>
      </c>
    </row>
    <row r="54" spans="1:16" x14ac:dyDescent="0.2">
      <c r="A54" t="s">
        <v>123</v>
      </c>
      <c r="B54" t="s">
        <v>17</v>
      </c>
      <c r="C54" t="s">
        <v>97</v>
      </c>
      <c r="D54">
        <v>27</v>
      </c>
      <c r="E54">
        <v>687</v>
      </c>
      <c r="F54">
        <v>794536</v>
      </c>
      <c r="G54" t="s">
        <v>124</v>
      </c>
      <c r="H54">
        <f t="shared" si="0"/>
        <v>0</v>
      </c>
      <c r="I54">
        <v>63</v>
      </c>
      <c r="J54">
        <v>0.75806451612903225</v>
      </c>
      <c r="K54">
        <f t="shared" si="1"/>
        <v>0</v>
      </c>
      <c r="L54">
        <f t="shared" si="2"/>
        <v>0</v>
      </c>
      <c r="M54">
        <v>49</v>
      </c>
      <c r="N54">
        <v>551</v>
      </c>
      <c r="O54">
        <f t="shared" si="3"/>
        <v>0</v>
      </c>
      <c r="P54">
        <v>0.49299999999999999</v>
      </c>
    </row>
    <row r="55" spans="1:16" x14ac:dyDescent="0.2">
      <c r="A55" t="s">
        <v>125</v>
      </c>
      <c r="B55" t="s">
        <v>17</v>
      </c>
      <c r="C55" t="s">
        <v>97</v>
      </c>
      <c r="D55">
        <v>27</v>
      </c>
      <c r="E55">
        <v>20</v>
      </c>
      <c r="F55">
        <v>500000</v>
      </c>
      <c r="G55" t="s">
        <v>126</v>
      </c>
      <c r="H55">
        <f t="shared" si="0"/>
        <v>0</v>
      </c>
      <c r="I55">
        <v>1</v>
      </c>
      <c r="J55">
        <v>0.66666666666666663</v>
      </c>
      <c r="K55">
        <f t="shared" si="1"/>
        <v>0</v>
      </c>
      <c r="L55">
        <f t="shared" si="2"/>
        <v>0</v>
      </c>
      <c r="M55">
        <v>9</v>
      </c>
      <c r="N55">
        <v>19</v>
      </c>
      <c r="O55">
        <f t="shared" si="3"/>
        <v>0</v>
      </c>
      <c r="P55">
        <v>0.53300000000000003</v>
      </c>
    </row>
    <row r="56" spans="1:16" x14ac:dyDescent="0.2">
      <c r="A56" t="s">
        <v>127</v>
      </c>
      <c r="B56" t="s">
        <v>17</v>
      </c>
      <c r="C56" t="s">
        <v>97</v>
      </c>
      <c r="D56">
        <v>26</v>
      </c>
      <c r="E56">
        <v>15</v>
      </c>
      <c r="F56">
        <v>449155</v>
      </c>
      <c r="G56" t="s">
        <v>128</v>
      </c>
      <c r="H56">
        <f t="shared" si="0"/>
        <v>0</v>
      </c>
      <c r="I56">
        <v>3</v>
      </c>
      <c r="J56">
        <v>1.75</v>
      </c>
      <c r="K56">
        <f t="shared" si="1"/>
        <v>0</v>
      </c>
      <c r="L56">
        <f t="shared" si="2"/>
        <v>0</v>
      </c>
      <c r="M56">
        <v>5</v>
      </c>
      <c r="N56">
        <v>24</v>
      </c>
      <c r="O56">
        <f t="shared" si="3"/>
        <v>0</v>
      </c>
      <c r="P56">
        <v>0.318</v>
      </c>
    </row>
    <row r="57" spans="1:16" x14ac:dyDescent="0.2">
      <c r="A57" t="s">
        <v>129</v>
      </c>
      <c r="B57" t="s">
        <v>17</v>
      </c>
      <c r="C57" t="s">
        <v>97</v>
      </c>
      <c r="D57">
        <v>25</v>
      </c>
      <c r="E57">
        <v>183</v>
      </c>
      <c r="F57">
        <v>237965</v>
      </c>
      <c r="G57" t="s">
        <v>130</v>
      </c>
      <c r="H57">
        <f t="shared" si="0"/>
        <v>0</v>
      </c>
      <c r="I57">
        <v>11</v>
      </c>
      <c r="J57">
        <v>1.1153846153846154</v>
      </c>
      <c r="K57">
        <f t="shared" si="1"/>
        <v>0</v>
      </c>
      <c r="L57">
        <f t="shared" si="2"/>
        <v>0</v>
      </c>
      <c r="M57">
        <v>29</v>
      </c>
      <c r="N57">
        <v>121</v>
      </c>
      <c r="O57">
        <f t="shared" si="3"/>
        <v>0</v>
      </c>
      <c r="P57">
        <v>0.68400000000000005</v>
      </c>
    </row>
    <row r="58" spans="1:16" x14ac:dyDescent="0.2">
      <c r="A58" t="s">
        <v>131</v>
      </c>
      <c r="B58" t="s">
        <v>17</v>
      </c>
      <c r="C58" t="s">
        <v>97</v>
      </c>
      <c r="D58">
        <v>30</v>
      </c>
      <c r="E58">
        <v>366</v>
      </c>
      <c r="F58">
        <v>233095</v>
      </c>
      <c r="G58" t="s">
        <v>132</v>
      </c>
      <c r="H58">
        <f t="shared" si="0"/>
        <v>0</v>
      </c>
      <c r="I58">
        <v>34</v>
      </c>
      <c r="J58">
        <v>1.1875</v>
      </c>
      <c r="K58">
        <f t="shared" si="1"/>
        <v>0</v>
      </c>
      <c r="L58">
        <f t="shared" si="2"/>
        <v>0</v>
      </c>
      <c r="M58">
        <v>24</v>
      </c>
      <c r="N58">
        <v>263</v>
      </c>
      <c r="O58">
        <f t="shared" si="3"/>
        <v>0</v>
      </c>
      <c r="P58">
        <v>0.503</v>
      </c>
    </row>
    <row r="59" spans="1:16" x14ac:dyDescent="0.2">
      <c r="A59" t="s">
        <v>133</v>
      </c>
      <c r="B59" t="s">
        <v>17</v>
      </c>
      <c r="C59" t="s">
        <v>97</v>
      </c>
      <c r="D59">
        <v>23</v>
      </c>
      <c r="E59">
        <v>310</v>
      </c>
      <c r="F59">
        <v>221995</v>
      </c>
      <c r="G59" t="s">
        <v>134</v>
      </c>
      <c r="H59">
        <f t="shared" si="0"/>
        <v>0</v>
      </c>
      <c r="I59">
        <v>26</v>
      </c>
      <c r="J59">
        <v>1.1627906976744187</v>
      </c>
      <c r="K59">
        <f t="shared" si="1"/>
        <v>0</v>
      </c>
      <c r="L59">
        <f t="shared" si="2"/>
        <v>0</v>
      </c>
      <c r="M59">
        <v>18</v>
      </c>
      <c r="N59">
        <v>146</v>
      </c>
      <c r="O59">
        <f t="shared" si="3"/>
        <v>0</v>
      </c>
      <c r="P59">
        <v>0.52200000000000002</v>
      </c>
    </row>
    <row r="60" spans="1:16" x14ac:dyDescent="0.2">
      <c r="A60" t="s">
        <v>135</v>
      </c>
      <c r="B60" t="s">
        <v>17</v>
      </c>
      <c r="C60" t="s">
        <v>136</v>
      </c>
      <c r="D60">
        <v>26</v>
      </c>
      <c r="E60">
        <v>1451</v>
      </c>
      <c r="F60">
        <v>29542010</v>
      </c>
      <c r="G60" t="s">
        <v>137</v>
      </c>
      <c r="H60">
        <f t="shared" si="0"/>
        <v>0</v>
      </c>
      <c r="I60">
        <v>50</v>
      </c>
      <c r="J60">
        <v>0.91194968553459121</v>
      </c>
      <c r="K60">
        <f t="shared" si="1"/>
        <v>1</v>
      </c>
      <c r="L60">
        <f t="shared" si="2"/>
        <v>0</v>
      </c>
      <c r="M60">
        <v>69</v>
      </c>
      <c r="N60">
        <v>539</v>
      </c>
      <c r="O60">
        <f t="shared" si="3"/>
        <v>0</v>
      </c>
      <c r="P60">
        <v>0.54500000000000004</v>
      </c>
    </row>
    <row r="61" spans="1:16" x14ac:dyDescent="0.2">
      <c r="A61" t="s">
        <v>138</v>
      </c>
      <c r="B61" t="s">
        <v>17</v>
      </c>
      <c r="C61" t="s">
        <v>136</v>
      </c>
      <c r="D61">
        <v>24</v>
      </c>
      <c r="E61">
        <v>592</v>
      </c>
      <c r="F61">
        <v>18000000</v>
      </c>
      <c r="G61" t="s">
        <v>139</v>
      </c>
      <c r="H61">
        <f t="shared" si="0"/>
        <v>0</v>
      </c>
      <c r="I61">
        <v>40</v>
      </c>
      <c r="J61">
        <v>0.71641791044776115</v>
      </c>
      <c r="K61">
        <f t="shared" si="1"/>
        <v>1</v>
      </c>
      <c r="L61">
        <f t="shared" si="2"/>
        <v>0</v>
      </c>
      <c r="M61">
        <v>159</v>
      </c>
      <c r="N61">
        <v>306</v>
      </c>
      <c r="O61">
        <f t="shared" si="3"/>
        <v>0</v>
      </c>
      <c r="P61">
        <v>0.55700000000000005</v>
      </c>
    </row>
    <row r="62" spans="1:16" x14ac:dyDescent="0.2">
      <c r="A62" t="s">
        <v>140</v>
      </c>
      <c r="B62" t="s">
        <v>17</v>
      </c>
      <c r="C62" t="s">
        <v>136</v>
      </c>
      <c r="D62">
        <v>26</v>
      </c>
      <c r="E62">
        <v>956</v>
      </c>
      <c r="F62">
        <v>16000000</v>
      </c>
      <c r="G62" t="s">
        <v>141</v>
      </c>
      <c r="H62">
        <f t="shared" si="0"/>
        <v>0</v>
      </c>
      <c r="I62">
        <v>44</v>
      </c>
      <c r="J62">
        <v>0.67123287671232879</v>
      </c>
      <c r="K62">
        <f t="shared" si="1"/>
        <v>1</v>
      </c>
      <c r="L62">
        <f t="shared" si="2"/>
        <v>0</v>
      </c>
      <c r="M62">
        <v>129</v>
      </c>
      <c r="N62">
        <v>903</v>
      </c>
      <c r="O62">
        <f t="shared" si="3"/>
        <v>0</v>
      </c>
      <c r="P62">
        <v>0.59399999999999997</v>
      </c>
    </row>
    <row r="63" spans="1:16" x14ac:dyDescent="0.2">
      <c r="A63" t="s">
        <v>142</v>
      </c>
      <c r="B63" t="s">
        <v>17</v>
      </c>
      <c r="C63" t="s">
        <v>136</v>
      </c>
      <c r="D63">
        <v>28</v>
      </c>
      <c r="E63">
        <v>451</v>
      </c>
      <c r="F63">
        <v>15415730</v>
      </c>
      <c r="G63" t="s">
        <v>143</v>
      </c>
      <c r="H63">
        <f t="shared" si="0"/>
        <v>0</v>
      </c>
      <c r="I63">
        <v>27</v>
      </c>
      <c r="J63">
        <v>1.6862745098039216</v>
      </c>
      <c r="K63">
        <f t="shared" si="1"/>
        <v>1</v>
      </c>
      <c r="L63">
        <f t="shared" si="2"/>
        <v>0</v>
      </c>
      <c r="M63">
        <v>17</v>
      </c>
      <c r="N63">
        <v>328</v>
      </c>
      <c r="O63">
        <f t="shared" si="3"/>
        <v>0</v>
      </c>
      <c r="P63">
        <v>0.56499999999999995</v>
      </c>
    </row>
    <row r="64" spans="1:16" x14ac:dyDescent="0.2">
      <c r="A64" t="s">
        <v>144</v>
      </c>
      <c r="B64" t="s">
        <v>17</v>
      </c>
      <c r="C64" t="s">
        <v>136</v>
      </c>
      <c r="D64">
        <v>32</v>
      </c>
      <c r="E64">
        <v>859</v>
      </c>
      <c r="F64">
        <v>12697674</v>
      </c>
      <c r="G64" t="s">
        <v>145</v>
      </c>
      <c r="H64">
        <f t="shared" si="0"/>
        <v>0</v>
      </c>
      <c r="I64">
        <v>40</v>
      </c>
      <c r="J64">
        <v>0.78125</v>
      </c>
      <c r="K64">
        <f t="shared" si="1"/>
        <v>1</v>
      </c>
      <c r="L64">
        <f t="shared" si="2"/>
        <v>0</v>
      </c>
      <c r="M64">
        <v>103</v>
      </c>
      <c r="N64">
        <v>347</v>
      </c>
      <c r="O64">
        <f t="shared" si="3"/>
        <v>0</v>
      </c>
      <c r="P64">
        <v>0.57699999999999996</v>
      </c>
    </row>
    <row r="65" spans="1:16" x14ac:dyDescent="0.2">
      <c r="A65" t="s">
        <v>146</v>
      </c>
      <c r="B65" t="s">
        <v>17</v>
      </c>
      <c r="C65" t="s">
        <v>136</v>
      </c>
      <c r="D65">
        <v>32</v>
      </c>
      <c r="E65">
        <v>426</v>
      </c>
      <c r="F65">
        <v>10375678</v>
      </c>
      <c r="G65" t="s">
        <v>147</v>
      </c>
      <c r="H65">
        <f t="shared" si="0"/>
        <v>0</v>
      </c>
      <c r="I65">
        <v>17</v>
      </c>
      <c r="J65">
        <v>1.0941176470588236</v>
      </c>
      <c r="K65">
        <f t="shared" si="1"/>
        <v>1</v>
      </c>
      <c r="L65">
        <f t="shared" si="2"/>
        <v>0</v>
      </c>
      <c r="M65">
        <v>65</v>
      </c>
      <c r="N65">
        <v>427</v>
      </c>
      <c r="O65">
        <f t="shared" si="3"/>
        <v>0</v>
      </c>
      <c r="P65">
        <v>0.76300000000000001</v>
      </c>
    </row>
    <row r="66" spans="1:16" x14ac:dyDescent="0.2">
      <c r="A66" t="s">
        <v>148</v>
      </c>
      <c r="B66" t="s">
        <v>17</v>
      </c>
      <c r="C66" t="s">
        <v>136</v>
      </c>
      <c r="D66">
        <v>28</v>
      </c>
      <c r="E66">
        <v>10</v>
      </c>
      <c r="F66">
        <v>9400000</v>
      </c>
      <c r="G66" t="s">
        <v>149</v>
      </c>
      <c r="H66">
        <f t="shared" ref="H66:H129" si="4">IF(B66="Forward", 1, 0)</f>
        <v>0</v>
      </c>
      <c r="I66">
        <v>0</v>
      </c>
      <c r="J66">
        <v>1</v>
      </c>
      <c r="K66">
        <f t="shared" ref="K66:K129" si="5">IF(C66="East", 1, 0)</f>
        <v>1</v>
      </c>
      <c r="L66">
        <f t="shared" ref="L66:L129" si="6">IF(C66="West", 1, 0)</f>
        <v>0</v>
      </c>
      <c r="M66">
        <v>0</v>
      </c>
      <c r="N66">
        <v>7</v>
      </c>
      <c r="O66">
        <f t="shared" ref="O66:O129" si="7">IF($B66="Guard", 1, 0)</f>
        <v>0</v>
      </c>
      <c r="P66">
        <v>0.64300000000000002</v>
      </c>
    </row>
    <row r="67" spans="1:16" x14ac:dyDescent="0.2">
      <c r="A67" t="s">
        <v>150</v>
      </c>
      <c r="B67" t="s">
        <v>17</v>
      </c>
      <c r="C67" t="s">
        <v>136</v>
      </c>
      <c r="D67">
        <v>29</v>
      </c>
      <c r="E67">
        <v>409</v>
      </c>
      <c r="F67">
        <v>9258000</v>
      </c>
      <c r="G67" t="s">
        <v>151</v>
      </c>
      <c r="H67">
        <f t="shared" si="4"/>
        <v>0</v>
      </c>
      <c r="I67">
        <v>24</v>
      </c>
      <c r="J67">
        <v>1.0806451612903225</v>
      </c>
      <c r="K67">
        <f t="shared" si="5"/>
        <v>1</v>
      </c>
      <c r="L67">
        <f t="shared" si="6"/>
        <v>0</v>
      </c>
      <c r="M67">
        <v>33</v>
      </c>
      <c r="N67">
        <v>439</v>
      </c>
      <c r="O67">
        <f t="shared" si="7"/>
        <v>0</v>
      </c>
      <c r="P67">
        <v>0.51800000000000002</v>
      </c>
    </row>
    <row r="68" spans="1:16" x14ac:dyDescent="0.2">
      <c r="A68" t="s">
        <v>152</v>
      </c>
      <c r="B68" t="s">
        <v>17</v>
      </c>
      <c r="C68" t="s">
        <v>136</v>
      </c>
      <c r="D68">
        <v>23</v>
      </c>
      <c r="E68">
        <v>143</v>
      </c>
      <c r="F68">
        <v>8333333</v>
      </c>
      <c r="G68" t="s">
        <v>153</v>
      </c>
      <c r="H68">
        <f t="shared" si="4"/>
        <v>0</v>
      </c>
      <c r="I68">
        <v>4</v>
      </c>
      <c r="J68">
        <v>1.3636363636363635</v>
      </c>
      <c r="K68">
        <f t="shared" si="5"/>
        <v>1</v>
      </c>
      <c r="L68">
        <f t="shared" si="6"/>
        <v>0</v>
      </c>
      <c r="M68">
        <v>8</v>
      </c>
      <c r="N68">
        <v>61</v>
      </c>
      <c r="O68">
        <f t="shared" si="7"/>
        <v>0</v>
      </c>
      <c r="P68">
        <v>0.69799999999999995</v>
      </c>
    </row>
    <row r="69" spans="1:16" x14ac:dyDescent="0.2">
      <c r="A69" t="s">
        <v>154</v>
      </c>
      <c r="B69" t="s">
        <v>17</v>
      </c>
      <c r="C69" t="s">
        <v>136</v>
      </c>
      <c r="D69">
        <v>30</v>
      </c>
      <c r="E69">
        <v>581</v>
      </c>
      <c r="F69">
        <v>8000000</v>
      </c>
      <c r="G69" t="s">
        <v>155</v>
      </c>
      <c r="H69">
        <f t="shared" si="4"/>
        <v>0</v>
      </c>
      <c r="I69">
        <v>43</v>
      </c>
      <c r="J69">
        <v>1.9238095238095239</v>
      </c>
      <c r="K69">
        <f t="shared" si="5"/>
        <v>1</v>
      </c>
      <c r="L69">
        <f t="shared" si="6"/>
        <v>0</v>
      </c>
      <c r="M69">
        <v>50</v>
      </c>
      <c r="N69">
        <v>519</v>
      </c>
      <c r="O69">
        <f t="shared" si="7"/>
        <v>0</v>
      </c>
      <c r="P69">
        <v>0.61399999999999999</v>
      </c>
    </row>
    <row r="70" spans="1:16" x14ac:dyDescent="0.2">
      <c r="A70" t="s">
        <v>156</v>
      </c>
      <c r="B70" t="s">
        <v>17</v>
      </c>
      <c r="C70" t="s">
        <v>136</v>
      </c>
      <c r="D70">
        <v>28</v>
      </c>
      <c r="E70">
        <v>23</v>
      </c>
      <c r="F70">
        <v>7529020</v>
      </c>
      <c r="G70" t="s">
        <v>157</v>
      </c>
      <c r="H70">
        <f t="shared" si="4"/>
        <v>0</v>
      </c>
      <c r="I70">
        <v>4</v>
      </c>
      <c r="J70">
        <v>2.25</v>
      </c>
      <c r="K70">
        <f t="shared" si="5"/>
        <v>1</v>
      </c>
      <c r="L70">
        <f t="shared" si="6"/>
        <v>0</v>
      </c>
      <c r="M70">
        <v>0</v>
      </c>
      <c r="N70">
        <v>26</v>
      </c>
      <c r="O70">
        <f t="shared" si="7"/>
        <v>0</v>
      </c>
      <c r="P70">
        <v>0.53800000000000003</v>
      </c>
    </row>
    <row r="71" spans="1:16" x14ac:dyDescent="0.2">
      <c r="A71" t="s">
        <v>158</v>
      </c>
      <c r="B71" t="s">
        <v>17</v>
      </c>
      <c r="C71" t="s">
        <v>136</v>
      </c>
      <c r="D71">
        <v>32</v>
      </c>
      <c r="E71">
        <v>642</v>
      </c>
      <c r="F71">
        <v>7300000</v>
      </c>
      <c r="G71" t="s">
        <v>159</v>
      </c>
      <c r="H71">
        <f t="shared" si="4"/>
        <v>0</v>
      </c>
      <c r="I71">
        <v>15</v>
      </c>
      <c r="J71">
        <v>0.73333333333333328</v>
      </c>
      <c r="K71">
        <f t="shared" si="5"/>
        <v>1</v>
      </c>
      <c r="L71">
        <f t="shared" si="6"/>
        <v>0</v>
      </c>
      <c r="M71">
        <v>44</v>
      </c>
      <c r="N71">
        <v>272</v>
      </c>
      <c r="O71">
        <f t="shared" si="7"/>
        <v>0</v>
      </c>
      <c r="P71">
        <v>0.63900000000000001</v>
      </c>
    </row>
    <row r="72" spans="1:16" x14ac:dyDescent="0.2">
      <c r="A72" t="s">
        <v>160</v>
      </c>
      <c r="B72" t="s">
        <v>17</v>
      </c>
      <c r="C72" t="s">
        <v>136</v>
      </c>
      <c r="D72">
        <v>34</v>
      </c>
      <c r="E72">
        <v>324</v>
      </c>
      <c r="F72">
        <v>7000000</v>
      </c>
      <c r="G72" t="s">
        <v>161</v>
      </c>
      <c r="H72">
        <f t="shared" si="4"/>
        <v>0</v>
      </c>
      <c r="I72">
        <v>17</v>
      </c>
      <c r="J72">
        <v>1.0217391304347827</v>
      </c>
      <c r="K72">
        <f t="shared" si="5"/>
        <v>1</v>
      </c>
      <c r="L72">
        <f t="shared" si="6"/>
        <v>0</v>
      </c>
      <c r="M72">
        <v>22</v>
      </c>
      <c r="N72">
        <v>273</v>
      </c>
      <c r="O72">
        <f t="shared" si="7"/>
        <v>0</v>
      </c>
      <c r="P72">
        <v>0.48499999999999999</v>
      </c>
    </row>
    <row r="73" spans="1:16" x14ac:dyDescent="0.2">
      <c r="A73" t="s">
        <v>162</v>
      </c>
      <c r="B73" t="s">
        <v>17</v>
      </c>
      <c r="C73" t="s">
        <v>136</v>
      </c>
      <c r="D73">
        <v>28</v>
      </c>
      <c r="E73">
        <v>818</v>
      </c>
      <c r="F73">
        <v>6750000</v>
      </c>
      <c r="G73" t="s">
        <v>163</v>
      </c>
      <c r="H73">
        <f t="shared" si="4"/>
        <v>0</v>
      </c>
      <c r="I73">
        <v>35</v>
      </c>
      <c r="J73">
        <v>1.3695652173913044</v>
      </c>
      <c r="K73">
        <f t="shared" si="5"/>
        <v>1</v>
      </c>
      <c r="L73">
        <f t="shared" si="6"/>
        <v>0</v>
      </c>
      <c r="M73">
        <v>111</v>
      </c>
      <c r="N73">
        <v>404</v>
      </c>
      <c r="O73">
        <f t="shared" si="7"/>
        <v>0</v>
      </c>
      <c r="P73">
        <v>0.59499999999999997</v>
      </c>
    </row>
    <row r="74" spans="1:16" x14ac:dyDescent="0.2">
      <c r="A74" t="s">
        <v>164</v>
      </c>
      <c r="B74" t="s">
        <v>17</v>
      </c>
      <c r="C74" t="s">
        <v>136</v>
      </c>
      <c r="D74">
        <v>22</v>
      </c>
      <c r="E74">
        <v>367</v>
      </c>
      <c r="F74">
        <v>5969040</v>
      </c>
      <c r="G74" t="s">
        <v>165</v>
      </c>
      <c r="H74">
        <f t="shared" si="4"/>
        <v>0</v>
      </c>
      <c r="I74">
        <v>14</v>
      </c>
      <c r="J74">
        <v>0.97222222222222221</v>
      </c>
      <c r="K74">
        <f t="shared" si="5"/>
        <v>1</v>
      </c>
      <c r="L74">
        <f t="shared" si="6"/>
        <v>0</v>
      </c>
      <c r="M74">
        <v>58</v>
      </c>
      <c r="N74">
        <v>265</v>
      </c>
      <c r="O74">
        <f t="shared" si="7"/>
        <v>0</v>
      </c>
      <c r="P74">
        <v>0.53500000000000003</v>
      </c>
    </row>
    <row r="75" spans="1:16" x14ac:dyDescent="0.2">
      <c r="A75" t="s">
        <v>166</v>
      </c>
      <c r="B75" t="s">
        <v>17</v>
      </c>
      <c r="C75" t="s">
        <v>136</v>
      </c>
      <c r="D75">
        <v>20</v>
      </c>
      <c r="E75">
        <v>228</v>
      </c>
      <c r="F75">
        <v>5813640</v>
      </c>
      <c r="G75" t="s">
        <v>167</v>
      </c>
      <c r="H75">
        <f t="shared" si="4"/>
        <v>0</v>
      </c>
      <c r="I75">
        <v>23</v>
      </c>
      <c r="J75">
        <v>0.62068965517241381</v>
      </c>
      <c r="K75">
        <f t="shared" si="5"/>
        <v>1</v>
      </c>
      <c r="L75">
        <f t="shared" si="6"/>
        <v>0</v>
      </c>
      <c r="M75">
        <v>33</v>
      </c>
      <c r="N75">
        <v>163</v>
      </c>
      <c r="O75">
        <f t="shared" si="7"/>
        <v>0</v>
      </c>
      <c r="P75">
        <v>0.64400000000000002</v>
      </c>
    </row>
    <row r="76" spans="1:16" x14ac:dyDescent="0.2">
      <c r="A76" t="s">
        <v>168</v>
      </c>
      <c r="B76" t="s">
        <v>17</v>
      </c>
      <c r="C76" t="s">
        <v>136</v>
      </c>
      <c r="D76">
        <v>23</v>
      </c>
      <c r="E76">
        <v>1197</v>
      </c>
      <c r="F76">
        <v>5115492</v>
      </c>
      <c r="G76" t="s">
        <v>169</v>
      </c>
      <c r="H76">
        <f t="shared" si="4"/>
        <v>0</v>
      </c>
      <c r="I76">
        <v>75</v>
      </c>
      <c r="J76">
        <v>2.0473372781065087</v>
      </c>
      <c r="K76">
        <f t="shared" si="5"/>
        <v>1</v>
      </c>
      <c r="L76">
        <f t="shared" si="6"/>
        <v>0</v>
      </c>
      <c r="M76">
        <v>66</v>
      </c>
      <c r="N76">
        <v>573</v>
      </c>
      <c r="O76">
        <f t="shared" si="7"/>
        <v>0</v>
      </c>
      <c r="P76">
        <v>0.57099999999999995</v>
      </c>
    </row>
    <row r="77" spans="1:16" x14ac:dyDescent="0.2">
      <c r="A77" t="s">
        <v>170</v>
      </c>
      <c r="B77" t="s">
        <v>17</v>
      </c>
      <c r="C77" t="s">
        <v>136</v>
      </c>
      <c r="D77">
        <v>26</v>
      </c>
      <c r="E77">
        <v>324</v>
      </c>
      <c r="F77">
        <v>5000000</v>
      </c>
      <c r="G77" t="s">
        <v>171</v>
      </c>
      <c r="H77">
        <f t="shared" si="4"/>
        <v>0</v>
      </c>
      <c r="I77">
        <v>70</v>
      </c>
      <c r="J77">
        <v>0.70769230769230773</v>
      </c>
      <c r="K77">
        <f t="shared" si="5"/>
        <v>1</v>
      </c>
      <c r="L77">
        <f t="shared" si="6"/>
        <v>0</v>
      </c>
      <c r="M77">
        <v>141</v>
      </c>
      <c r="N77">
        <v>408</v>
      </c>
      <c r="O77">
        <f t="shared" si="7"/>
        <v>0</v>
      </c>
      <c r="P77">
        <v>0.61399999999999999</v>
      </c>
    </row>
    <row r="78" spans="1:16" x14ac:dyDescent="0.2">
      <c r="A78" t="s">
        <v>172</v>
      </c>
      <c r="B78" t="s">
        <v>17</v>
      </c>
      <c r="C78" t="s">
        <v>136</v>
      </c>
      <c r="D78">
        <v>25</v>
      </c>
      <c r="E78">
        <v>754</v>
      </c>
      <c r="F78">
        <v>3623000</v>
      </c>
      <c r="G78" t="s">
        <v>173</v>
      </c>
      <c r="H78">
        <f t="shared" si="4"/>
        <v>0</v>
      </c>
      <c r="I78">
        <v>52</v>
      </c>
      <c r="J78">
        <v>1.2678571428571428</v>
      </c>
      <c r="K78">
        <f t="shared" si="5"/>
        <v>1</v>
      </c>
      <c r="L78">
        <f t="shared" si="6"/>
        <v>0</v>
      </c>
      <c r="M78">
        <v>26</v>
      </c>
      <c r="N78">
        <v>466</v>
      </c>
      <c r="O78">
        <f t="shared" si="7"/>
        <v>0</v>
      </c>
      <c r="P78">
        <v>0.58499999999999996</v>
      </c>
    </row>
    <row r="79" spans="1:16" x14ac:dyDescent="0.2">
      <c r="A79" t="s">
        <v>174</v>
      </c>
      <c r="B79" t="s">
        <v>17</v>
      </c>
      <c r="C79" t="s">
        <v>136</v>
      </c>
      <c r="D79">
        <v>28</v>
      </c>
      <c r="E79">
        <v>331</v>
      </c>
      <c r="F79">
        <v>3500000</v>
      </c>
      <c r="G79" t="s">
        <v>175</v>
      </c>
      <c r="H79">
        <f t="shared" si="4"/>
        <v>0</v>
      </c>
      <c r="I79">
        <v>17</v>
      </c>
      <c r="J79">
        <v>1.1408450704225352</v>
      </c>
      <c r="K79">
        <f t="shared" si="5"/>
        <v>1</v>
      </c>
      <c r="L79">
        <f t="shared" si="6"/>
        <v>0</v>
      </c>
      <c r="M79">
        <v>74</v>
      </c>
      <c r="N79">
        <v>347</v>
      </c>
      <c r="O79">
        <f t="shared" si="7"/>
        <v>0</v>
      </c>
      <c r="P79">
        <v>0.58699999999999997</v>
      </c>
    </row>
    <row r="80" spans="1:16" x14ac:dyDescent="0.2">
      <c r="A80" t="s">
        <v>176</v>
      </c>
      <c r="B80" t="s">
        <v>17</v>
      </c>
      <c r="C80" t="s">
        <v>136</v>
      </c>
      <c r="D80">
        <v>19</v>
      </c>
      <c r="E80">
        <v>537</v>
      </c>
      <c r="F80">
        <v>3121080</v>
      </c>
      <c r="G80" t="s">
        <v>177</v>
      </c>
      <c r="H80">
        <f t="shared" si="4"/>
        <v>0</v>
      </c>
      <c r="I80">
        <v>39</v>
      </c>
      <c r="J80">
        <v>0.88059701492537312</v>
      </c>
      <c r="K80">
        <f t="shared" si="5"/>
        <v>1</v>
      </c>
      <c r="L80">
        <f t="shared" si="6"/>
        <v>0</v>
      </c>
      <c r="M80">
        <v>86</v>
      </c>
      <c r="N80">
        <v>453</v>
      </c>
      <c r="O80">
        <f t="shared" si="7"/>
        <v>0</v>
      </c>
      <c r="P80">
        <v>0.57799999999999996</v>
      </c>
    </row>
    <row r="81" spans="1:16" x14ac:dyDescent="0.2">
      <c r="A81" t="s">
        <v>178</v>
      </c>
      <c r="B81" t="s">
        <v>17</v>
      </c>
      <c r="C81" t="s">
        <v>136</v>
      </c>
      <c r="D81">
        <v>21</v>
      </c>
      <c r="E81">
        <v>231</v>
      </c>
      <c r="F81">
        <v>2957520</v>
      </c>
      <c r="G81" t="s">
        <v>179</v>
      </c>
      <c r="H81">
        <f t="shared" si="4"/>
        <v>0</v>
      </c>
      <c r="I81">
        <v>9</v>
      </c>
      <c r="J81">
        <v>2.1764705882352939</v>
      </c>
      <c r="K81">
        <f t="shared" si="5"/>
        <v>1</v>
      </c>
      <c r="L81">
        <f t="shared" si="6"/>
        <v>0</v>
      </c>
      <c r="M81">
        <v>60</v>
      </c>
      <c r="N81">
        <v>150</v>
      </c>
      <c r="O81">
        <f t="shared" si="7"/>
        <v>0</v>
      </c>
      <c r="P81">
        <v>0.47899999999999998</v>
      </c>
    </row>
    <row r="82" spans="1:16" x14ac:dyDescent="0.2">
      <c r="A82" t="s">
        <v>180</v>
      </c>
      <c r="B82" t="s">
        <v>17</v>
      </c>
      <c r="C82" t="s">
        <v>136</v>
      </c>
      <c r="D82">
        <v>23</v>
      </c>
      <c r="E82">
        <v>417</v>
      </c>
      <c r="F82">
        <v>2029920</v>
      </c>
      <c r="G82" t="s">
        <v>181</v>
      </c>
      <c r="H82">
        <f t="shared" si="4"/>
        <v>0</v>
      </c>
      <c r="I82">
        <v>43</v>
      </c>
      <c r="J82">
        <v>1.8076923076923077</v>
      </c>
      <c r="K82">
        <f t="shared" si="5"/>
        <v>1</v>
      </c>
      <c r="L82">
        <f t="shared" si="6"/>
        <v>0</v>
      </c>
      <c r="M82">
        <v>91</v>
      </c>
      <c r="N82">
        <v>358</v>
      </c>
      <c r="O82">
        <f t="shared" si="7"/>
        <v>0</v>
      </c>
      <c r="P82">
        <v>0.72099999999999997</v>
      </c>
    </row>
    <row r="83" spans="1:16" x14ac:dyDescent="0.2">
      <c r="A83" t="s">
        <v>182</v>
      </c>
      <c r="B83" t="s">
        <v>17</v>
      </c>
      <c r="C83" t="s">
        <v>136</v>
      </c>
      <c r="D83">
        <v>25</v>
      </c>
      <c r="E83">
        <v>145</v>
      </c>
      <c r="F83">
        <v>1882867</v>
      </c>
      <c r="G83" t="s">
        <v>183</v>
      </c>
      <c r="H83">
        <f t="shared" si="4"/>
        <v>0</v>
      </c>
      <c r="I83">
        <v>6</v>
      </c>
      <c r="J83">
        <v>0.61904761904761907</v>
      </c>
      <c r="K83">
        <f t="shared" si="5"/>
        <v>1</v>
      </c>
      <c r="L83">
        <f t="shared" si="6"/>
        <v>0</v>
      </c>
      <c r="M83">
        <v>5</v>
      </c>
      <c r="N83">
        <v>66</v>
      </c>
      <c r="O83">
        <f t="shared" si="7"/>
        <v>0</v>
      </c>
      <c r="P83">
        <v>0.627</v>
      </c>
    </row>
    <row r="84" spans="1:16" x14ac:dyDescent="0.2">
      <c r="A84" t="s">
        <v>184</v>
      </c>
      <c r="B84" t="s">
        <v>17</v>
      </c>
      <c r="C84" t="s">
        <v>136</v>
      </c>
      <c r="D84">
        <v>22</v>
      </c>
      <c r="E84">
        <v>256</v>
      </c>
      <c r="F84">
        <v>1663861</v>
      </c>
      <c r="G84" t="s">
        <v>185</v>
      </c>
      <c r="H84">
        <f t="shared" si="4"/>
        <v>0</v>
      </c>
      <c r="I84">
        <v>35</v>
      </c>
      <c r="J84">
        <v>0.65384615384615385</v>
      </c>
      <c r="K84">
        <f t="shared" si="5"/>
        <v>1</v>
      </c>
      <c r="L84">
        <f t="shared" si="6"/>
        <v>0</v>
      </c>
      <c r="M84">
        <v>45</v>
      </c>
      <c r="N84">
        <v>252</v>
      </c>
      <c r="O84">
        <f t="shared" si="7"/>
        <v>0</v>
      </c>
      <c r="P84">
        <v>0.65300000000000002</v>
      </c>
    </row>
    <row r="85" spans="1:16" x14ac:dyDescent="0.2">
      <c r="A85" t="s">
        <v>186</v>
      </c>
      <c r="B85" t="s">
        <v>17</v>
      </c>
      <c r="C85" t="s">
        <v>136</v>
      </c>
      <c r="D85">
        <v>40</v>
      </c>
      <c r="E85">
        <v>4</v>
      </c>
      <c r="F85">
        <v>1620564</v>
      </c>
      <c r="G85" t="s">
        <v>187</v>
      </c>
      <c r="H85">
        <f t="shared" si="4"/>
        <v>0</v>
      </c>
      <c r="I85">
        <v>0</v>
      </c>
      <c r="J85">
        <v>0</v>
      </c>
      <c r="K85">
        <f t="shared" si="5"/>
        <v>1</v>
      </c>
      <c r="L85">
        <f t="shared" si="6"/>
        <v>0</v>
      </c>
      <c r="M85">
        <v>0</v>
      </c>
      <c r="N85">
        <v>1</v>
      </c>
      <c r="O85">
        <f t="shared" si="7"/>
        <v>0</v>
      </c>
      <c r="P85">
        <v>1</v>
      </c>
    </row>
    <row r="86" spans="1:16" x14ac:dyDescent="0.2">
      <c r="A86" t="s">
        <v>188</v>
      </c>
      <c r="B86" t="s">
        <v>17</v>
      </c>
      <c r="C86" t="s">
        <v>136</v>
      </c>
      <c r="D86">
        <v>23</v>
      </c>
      <c r="E86">
        <v>30</v>
      </c>
      <c r="F86">
        <v>1620564</v>
      </c>
      <c r="G86" t="s">
        <v>189</v>
      </c>
      <c r="H86">
        <f t="shared" si="4"/>
        <v>0</v>
      </c>
      <c r="I86">
        <v>2</v>
      </c>
      <c r="J86">
        <v>1.3333333333333333</v>
      </c>
      <c r="K86">
        <f t="shared" si="5"/>
        <v>1</v>
      </c>
      <c r="L86">
        <f t="shared" si="6"/>
        <v>0</v>
      </c>
      <c r="M86">
        <v>4</v>
      </c>
      <c r="N86">
        <v>18</v>
      </c>
      <c r="O86">
        <f t="shared" si="7"/>
        <v>0</v>
      </c>
      <c r="P86">
        <v>0.55600000000000005</v>
      </c>
    </row>
    <row r="87" spans="1:16" x14ac:dyDescent="0.2">
      <c r="A87" t="s">
        <v>190</v>
      </c>
      <c r="B87" t="s">
        <v>17</v>
      </c>
      <c r="C87" t="s">
        <v>136</v>
      </c>
      <c r="D87">
        <v>35</v>
      </c>
      <c r="E87">
        <v>482</v>
      </c>
      <c r="F87">
        <v>1620564</v>
      </c>
      <c r="G87" t="s">
        <v>191</v>
      </c>
      <c r="H87">
        <f t="shared" si="4"/>
        <v>0</v>
      </c>
      <c r="I87">
        <v>30</v>
      </c>
      <c r="J87">
        <v>0.5446428571428571</v>
      </c>
      <c r="K87">
        <f t="shared" si="5"/>
        <v>1</v>
      </c>
      <c r="L87">
        <f t="shared" si="6"/>
        <v>0</v>
      </c>
      <c r="M87">
        <v>62</v>
      </c>
      <c r="N87">
        <v>580</v>
      </c>
      <c r="O87">
        <f t="shared" si="7"/>
        <v>0</v>
      </c>
      <c r="P87">
        <v>0.59599999999999997</v>
      </c>
    </row>
    <row r="88" spans="1:16" x14ac:dyDescent="0.2">
      <c r="A88" t="s">
        <v>192</v>
      </c>
      <c r="B88" t="s">
        <v>17</v>
      </c>
      <c r="C88" t="s">
        <v>136</v>
      </c>
      <c r="D88">
        <v>25</v>
      </c>
      <c r="E88">
        <v>0</v>
      </c>
      <c r="F88">
        <v>1517981</v>
      </c>
      <c r="G88" t="s">
        <v>193</v>
      </c>
      <c r="H88">
        <f t="shared" si="4"/>
        <v>0</v>
      </c>
      <c r="I88">
        <v>0</v>
      </c>
      <c r="J88">
        <v>0.2</v>
      </c>
      <c r="K88">
        <f t="shared" si="5"/>
        <v>1</v>
      </c>
      <c r="L88">
        <f t="shared" si="6"/>
        <v>0</v>
      </c>
      <c r="M88">
        <v>0</v>
      </c>
      <c r="N88">
        <v>1</v>
      </c>
      <c r="O88">
        <f t="shared" si="7"/>
        <v>0</v>
      </c>
      <c r="P88">
        <v>0</v>
      </c>
    </row>
    <row r="89" spans="1:16" x14ac:dyDescent="0.2">
      <c r="A89" t="s">
        <v>194</v>
      </c>
      <c r="B89" t="s">
        <v>17</v>
      </c>
      <c r="C89" t="s">
        <v>136</v>
      </c>
      <c r="D89">
        <v>21</v>
      </c>
      <c r="E89">
        <v>212</v>
      </c>
      <c r="F89">
        <v>1517981</v>
      </c>
      <c r="G89" t="s">
        <v>195</v>
      </c>
      <c r="H89">
        <f t="shared" si="4"/>
        <v>0</v>
      </c>
      <c r="I89">
        <v>23</v>
      </c>
      <c r="J89">
        <v>1.5555555555555556</v>
      </c>
      <c r="K89">
        <f t="shared" si="5"/>
        <v>1</v>
      </c>
      <c r="L89">
        <f t="shared" si="6"/>
        <v>0</v>
      </c>
      <c r="M89">
        <v>40</v>
      </c>
      <c r="N89">
        <v>166</v>
      </c>
      <c r="O89">
        <f t="shared" si="7"/>
        <v>0</v>
      </c>
      <c r="P89">
        <v>0.624</v>
      </c>
    </row>
    <row r="90" spans="1:16" x14ac:dyDescent="0.2">
      <c r="A90" t="s">
        <v>196</v>
      </c>
      <c r="B90" t="s">
        <v>17</v>
      </c>
      <c r="C90" t="s">
        <v>136</v>
      </c>
      <c r="D90">
        <v>22</v>
      </c>
      <c r="E90">
        <v>51</v>
      </c>
      <c r="F90">
        <v>1517981</v>
      </c>
      <c r="G90" t="s">
        <v>197</v>
      </c>
      <c r="H90">
        <f t="shared" si="4"/>
        <v>0</v>
      </c>
      <c r="I90">
        <v>4</v>
      </c>
      <c r="J90">
        <v>0.47619047619047616</v>
      </c>
      <c r="K90">
        <f t="shared" si="5"/>
        <v>1</v>
      </c>
      <c r="L90">
        <f t="shared" si="6"/>
        <v>0</v>
      </c>
      <c r="M90">
        <v>3</v>
      </c>
      <c r="N90">
        <v>78</v>
      </c>
      <c r="O90">
        <f t="shared" si="7"/>
        <v>0</v>
      </c>
      <c r="P90">
        <v>0.40899999999999997</v>
      </c>
    </row>
    <row r="91" spans="1:16" x14ac:dyDescent="0.2">
      <c r="A91" t="s">
        <v>198</v>
      </c>
      <c r="B91" t="s">
        <v>17</v>
      </c>
      <c r="C91" t="s">
        <v>136</v>
      </c>
      <c r="D91">
        <v>35</v>
      </c>
      <c r="E91">
        <v>241</v>
      </c>
      <c r="F91">
        <v>1442968</v>
      </c>
      <c r="G91" t="s">
        <v>199</v>
      </c>
      <c r="H91">
        <f t="shared" si="4"/>
        <v>0</v>
      </c>
      <c r="I91">
        <v>31</v>
      </c>
      <c r="J91">
        <v>1.6363636363636365</v>
      </c>
      <c r="K91">
        <f t="shared" si="5"/>
        <v>1</v>
      </c>
      <c r="L91">
        <f t="shared" si="6"/>
        <v>0</v>
      </c>
      <c r="M91">
        <v>49</v>
      </c>
      <c r="N91">
        <v>250</v>
      </c>
      <c r="O91">
        <f t="shared" si="7"/>
        <v>0</v>
      </c>
      <c r="P91">
        <v>0.63600000000000001</v>
      </c>
    </row>
    <row r="92" spans="1:16" x14ac:dyDescent="0.2">
      <c r="A92" t="s">
        <v>200</v>
      </c>
      <c r="B92" t="s">
        <v>17</v>
      </c>
      <c r="C92" t="s">
        <v>136</v>
      </c>
      <c r="D92">
        <v>19</v>
      </c>
      <c r="E92">
        <v>46</v>
      </c>
      <c r="F92">
        <v>1350000</v>
      </c>
      <c r="G92" t="s">
        <v>201</v>
      </c>
      <c r="H92">
        <f t="shared" si="4"/>
        <v>0</v>
      </c>
      <c r="I92">
        <v>1</v>
      </c>
      <c r="J92">
        <v>0.4</v>
      </c>
      <c r="K92">
        <f t="shared" si="5"/>
        <v>1</v>
      </c>
      <c r="L92">
        <f t="shared" si="6"/>
        <v>0</v>
      </c>
      <c r="M92">
        <v>5</v>
      </c>
      <c r="N92">
        <v>27</v>
      </c>
      <c r="O92">
        <f t="shared" si="7"/>
        <v>0</v>
      </c>
      <c r="P92">
        <v>0.51400000000000001</v>
      </c>
    </row>
    <row r="93" spans="1:16" x14ac:dyDescent="0.2">
      <c r="A93" t="s">
        <v>202</v>
      </c>
      <c r="B93" t="s">
        <v>17</v>
      </c>
      <c r="C93" t="s">
        <v>136</v>
      </c>
      <c r="D93">
        <v>25</v>
      </c>
      <c r="E93">
        <v>0</v>
      </c>
      <c r="F93">
        <v>1087776</v>
      </c>
      <c r="G93" t="s">
        <v>203</v>
      </c>
      <c r="H93">
        <f t="shared" si="4"/>
        <v>0</v>
      </c>
      <c r="I93">
        <v>0</v>
      </c>
      <c r="J93">
        <v>0.5</v>
      </c>
      <c r="K93">
        <f t="shared" si="5"/>
        <v>1</v>
      </c>
      <c r="L93">
        <f t="shared" si="6"/>
        <v>0</v>
      </c>
      <c r="M93">
        <v>0</v>
      </c>
      <c r="N93">
        <v>1</v>
      </c>
      <c r="O93">
        <f t="shared" si="7"/>
        <v>0</v>
      </c>
      <c r="P93">
        <v>0</v>
      </c>
    </row>
    <row r="94" spans="1:16" x14ac:dyDescent="0.2">
      <c r="A94" t="s">
        <v>204</v>
      </c>
      <c r="B94" t="s">
        <v>17</v>
      </c>
      <c r="C94" t="s">
        <v>136</v>
      </c>
      <c r="D94">
        <v>26</v>
      </c>
      <c r="E94">
        <v>13</v>
      </c>
      <c r="F94">
        <v>449155</v>
      </c>
      <c r="G94" t="s">
        <v>205</v>
      </c>
      <c r="H94">
        <f t="shared" si="4"/>
        <v>0</v>
      </c>
      <c r="I94">
        <v>0</v>
      </c>
      <c r="J94">
        <v>0.25</v>
      </c>
      <c r="K94">
        <f t="shared" si="5"/>
        <v>1</v>
      </c>
      <c r="L94">
        <f t="shared" si="6"/>
        <v>0</v>
      </c>
      <c r="M94">
        <v>5</v>
      </c>
      <c r="N94">
        <v>8</v>
      </c>
      <c r="O94">
        <f t="shared" si="7"/>
        <v>0</v>
      </c>
      <c r="P94">
        <v>0.625</v>
      </c>
    </row>
    <row r="95" spans="1:16" x14ac:dyDescent="0.2">
      <c r="A95" t="s">
        <v>206</v>
      </c>
      <c r="B95" t="s">
        <v>17</v>
      </c>
      <c r="C95" t="s">
        <v>136</v>
      </c>
      <c r="D95">
        <v>25</v>
      </c>
      <c r="E95">
        <v>47</v>
      </c>
      <c r="F95">
        <v>449155</v>
      </c>
      <c r="G95" t="s">
        <v>207</v>
      </c>
      <c r="H95">
        <f t="shared" si="4"/>
        <v>0</v>
      </c>
      <c r="I95">
        <v>1</v>
      </c>
      <c r="J95">
        <v>0.5</v>
      </c>
      <c r="K95">
        <f t="shared" si="5"/>
        <v>1</v>
      </c>
      <c r="L95">
        <f t="shared" si="6"/>
        <v>0</v>
      </c>
      <c r="M95">
        <v>20</v>
      </c>
      <c r="N95">
        <v>52</v>
      </c>
      <c r="O95">
        <f t="shared" si="7"/>
        <v>0</v>
      </c>
      <c r="P95">
        <v>0.72399999999999998</v>
      </c>
    </row>
    <row r="96" spans="1:16" x14ac:dyDescent="0.2">
      <c r="A96" t="s">
        <v>208</v>
      </c>
      <c r="B96" t="s">
        <v>17</v>
      </c>
      <c r="C96" t="s">
        <v>136</v>
      </c>
      <c r="D96">
        <v>31</v>
      </c>
      <c r="E96">
        <v>113</v>
      </c>
      <c r="F96">
        <v>432890</v>
      </c>
      <c r="G96" t="s">
        <v>209</v>
      </c>
      <c r="H96">
        <f t="shared" si="4"/>
        <v>0</v>
      </c>
      <c r="I96">
        <v>9</v>
      </c>
      <c r="J96">
        <v>0.92307692307692313</v>
      </c>
      <c r="K96">
        <f t="shared" si="5"/>
        <v>1</v>
      </c>
      <c r="L96">
        <f t="shared" si="6"/>
        <v>0</v>
      </c>
      <c r="M96">
        <v>6</v>
      </c>
      <c r="N96">
        <v>86</v>
      </c>
      <c r="O96">
        <f t="shared" si="7"/>
        <v>0</v>
      </c>
      <c r="P96">
        <v>0.71499999999999997</v>
      </c>
    </row>
    <row r="97" spans="1:16" x14ac:dyDescent="0.2">
      <c r="A97" t="s">
        <v>210</v>
      </c>
      <c r="B97" t="s">
        <v>211</v>
      </c>
      <c r="C97" t="s">
        <v>18</v>
      </c>
      <c r="D97">
        <v>30</v>
      </c>
      <c r="E97">
        <v>1259</v>
      </c>
      <c r="F97">
        <v>35450412</v>
      </c>
      <c r="G97" t="s">
        <v>212</v>
      </c>
      <c r="H97">
        <f t="shared" si="4"/>
        <v>1</v>
      </c>
      <c r="I97">
        <v>62</v>
      </c>
      <c r="J97">
        <v>1.5642458100558658</v>
      </c>
      <c r="K97">
        <f t="shared" si="5"/>
        <v>0</v>
      </c>
      <c r="L97">
        <f t="shared" si="6"/>
        <v>1</v>
      </c>
      <c r="M97">
        <v>24</v>
      </c>
      <c r="N97">
        <v>359</v>
      </c>
      <c r="O97">
        <f t="shared" si="7"/>
        <v>0</v>
      </c>
      <c r="P97">
        <v>0.55700000000000005</v>
      </c>
    </row>
    <row r="98" spans="1:16" x14ac:dyDescent="0.2">
      <c r="A98" t="s">
        <v>213</v>
      </c>
      <c r="B98" t="s">
        <v>211</v>
      </c>
      <c r="C98" t="s">
        <v>18</v>
      </c>
      <c r="D98">
        <v>29</v>
      </c>
      <c r="E98">
        <v>1292</v>
      </c>
      <c r="F98">
        <v>34379100</v>
      </c>
      <c r="G98" t="s">
        <v>214</v>
      </c>
      <c r="H98">
        <f t="shared" si="4"/>
        <v>1</v>
      </c>
      <c r="I98">
        <v>81</v>
      </c>
      <c r="J98">
        <v>2.5619047619047617</v>
      </c>
      <c r="K98">
        <f t="shared" si="5"/>
        <v>0</v>
      </c>
      <c r="L98">
        <f t="shared" si="6"/>
        <v>1</v>
      </c>
      <c r="M98">
        <v>21</v>
      </c>
      <c r="N98">
        <v>337</v>
      </c>
      <c r="O98">
        <f t="shared" si="7"/>
        <v>0</v>
      </c>
      <c r="P98">
        <v>0.56799999999999995</v>
      </c>
    </row>
    <row r="99" spans="1:16" x14ac:dyDescent="0.2">
      <c r="A99" t="s">
        <v>215</v>
      </c>
      <c r="B99" t="s">
        <v>211</v>
      </c>
      <c r="C99" t="s">
        <v>18</v>
      </c>
      <c r="D99">
        <v>27</v>
      </c>
      <c r="E99">
        <v>786</v>
      </c>
      <c r="F99">
        <v>32742000</v>
      </c>
      <c r="G99" t="s">
        <v>216</v>
      </c>
      <c r="H99">
        <f t="shared" si="4"/>
        <v>1</v>
      </c>
      <c r="I99">
        <v>45</v>
      </c>
      <c r="J99">
        <v>1.4864864864864864</v>
      </c>
      <c r="K99">
        <f t="shared" si="5"/>
        <v>0</v>
      </c>
      <c r="L99">
        <f t="shared" si="6"/>
        <v>1</v>
      </c>
      <c r="M99">
        <v>59</v>
      </c>
      <c r="N99">
        <v>286</v>
      </c>
      <c r="O99">
        <f t="shared" si="7"/>
        <v>0</v>
      </c>
      <c r="P99">
        <v>0.51200000000000001</v>
      </c>
    </row>
    <row r="100" spans="1:16" x14ac:dyDescent="0.2">
      <c r="A100" t="s">
        <v>217</v>
      </c>
      <c r="B100" t="s">
        <v>211</v>
      </c>
      <c r="C100" t="s">
        <v>18</v>
      </c>
      <c r="D100">
        <v>25</v>
      </c>
      <c r="E100">
        <v>1320</v>
      </c>
      <c r="F100">
        <v>29542010</v>
      </c>
      <c r="G100" t="s">
        <v>218</v>
      </c>
      <c r="H100">
        <f t="shared" si="4"/>
        <v>1</v>
      </c>
      <c r="I100">
        <v>67</v>
      </c>
      <c r="J100">
        <v>1.3253968253968254</v>
      </c>
      <c r="K100">
        <f t="shared" si="5"/>
        <v>0</v>
      </c>
      <c r="L100">
        <f t="shared" si="6"/>
        <v>1</v>
      </c>
      <c r="M100">
        <v>70</v>
      </c>
      <c r="N100">
        <v>347</v>
      </c>
      <c r="O100">
        <f t="shared" si="7"/>
        <v>0</v>
      </c>
      <c r="P100">
        <v>0.54300000000000004</v>
      </c>
    </row>
    <row r="101" spans="1:16" x14ac:dyDescent="0.2">
      <c r="A101" t="s">
        <v>219</v>
      </c>
      <c r="B101" t="s">
        <v>211</v>
      </c>
      <c r="C101" t="s">
        <v>18</v>
      </c>
      <c r="D101">
        <v>31</v>
      </c>
      <c r="E101">
        <v>1316</v>
      </c>
      <c r="F101">
        <v>27739975</v>
      </c>
      <c r="G101" t="s">
        <v>220</v>
      </c>
      <c r="H101">
        <f t="shared" si="4"/>
        <v>1</v>
      </c>
      <c r="I101">
        <v>56</v>
      </c>
      <c r="J101">
        <v>3.5462184873949578</v>
      </c>
      <c r="K101">
        <f t="shared" si="5"/>
        <v>0</v>
      </c>
      <c r="L101">
        <f t="shared" si="6"/>
        <v>1</v>
      </c>
      <c r="M101">
        <v>15</v>
      </c>
      <c r="N101">
        <v>259</v>
      </c>
      <c r="O101">
        <f t="shared" si="7"/>
        <v>0</v>
      </c>
      <c r="P101">
        <v>0.505</v>
      </c>
    </row>
    <row r="102" spans="1:16" x14ac:dyDescent="0.2">
      <c r="A102" t="s">
        <v>221</v>
      </c>
      <c r="B102" t="s">
        <v>211</v>
      </c>
      <c r="C102" t="s">
        <v>18</v>
      </c>
      <c r="D102">
        <v>23</v>
      </c>
      <c r="E102">
        <v>1450</v>
      </c>
      <c r="F102">
        <v>27285000</v>
      </c>
      <c r="G102" t="s">
        <v>222</v>
      </c>
      <c r="H102">
        <f t="shared" si="4"/>
        <v>1</v>
      </c>
      <c r="I102">
        <v>42</v>
      </c>
      <c r="J102">
        <v>1.9220779220779221</v>
      </c>
      <c r="K102">
        <f t="shared" si="5"/>
        <v>0</v>
      </c>
      <c r="L102">
        <f t="shared" si="6"/>
        <v>1</v>
      </c>
      <c r="M102">
        <v>36</v>
      </c>
      <c r="N102">
        <v>299</v>
      </c>
      <c r="O102">
        <f t="shared" si="7"/>
        <v>0</v>
      </c>
      <c r="P102">
        <v>0.53100000000000003</v>
      </c>
    </row>
    <row r="103" spans="1:16" x14ac:dyDescent="0.2">
      <c r="A103" t="s">
        <v>223</v>
      </c>
      <c r="B103" t="s">
        <v>211</v>
      </c>
      <c r="C103" t="s">
        <v>18</v>
      </c>
      <c r="D103">
        <v>30</v>
      </c>
      <c r="E103">
        <v>444</v>
      </c>
      <c r="F103">
        <v>22246956</v>
      </c>
      <c r="G103" t="s">
        <v>224</v>
      </c>
      <c r="H103">
        <f t="shared" si="4"/>
        <v>1</v>
      </c>
      <c r="I103">
        <v>105</v>
      </c>
      <c r="J103">
        <v>2.9680851063829787</v>
      </c>
      <c r="K103">
        <f t="shared" si="5"/>
        <v>0</v>
      </c>
      <c r="L103">
        <f t="shared" si="6"/>
        <v>1</v>
      </c>
      <c r="M103">
        <v>52</v>
      </c>
      <c r="N103">
        <v>448</v>
      </c>
      <c r="O103">
        <f t="shared" si="7"/>
        <v>0</v>
      </c>
      <c r="P103">
        <v>0.49199999999999999</v>
      </c>
    </row>
    <row r="104" spans="1:16" x14ac:dyDescent="0.2">
      <c r="A104" t="s">
        <v>225</v>
      </c>
      <c r="B104" t="s">
        <v>211</v>
      </c>
      <c r="C104" t="s">
        <v>18</v>
      </c>
      <c r="D104">
        <v>28</v>
      </c>
      <c r="E104">
        <v>933</v>
      </c>
      <c r="F104">
        <v>22215909</v>
      </c>
      <c r="G104" t="s">
        <v>226</v>
      </c>
      <c r="H104">
        <f t="shared" si="4"/>
        <v>1</v>
      </c>
      <c r="I104">
        <v>43</v>
      </c>
      <c r="J104">
        <v>2.161290322580645</v>
      </c>
      <c r="K104">
        <f t="shared" si="5"/>
        <v>0</v>
      </c>
      <c r="L104">
        <f t="shared" si="6"/>
        <v>1</v>
      </c>
      <c r="M104">
        <v>11</v>
      </c>
      <c r="N104">
        <v>385</v>
      </c>
      <c r="O104">
        <f t="shared" si="7"/>
        <v>0</v>
      </c>
      <c r="P104">
        <v>0.57499999999999996</v>
      </c>
    </row>
    <row r="105" spans="1:16" x14ac:dyDescent="0.2">
      <c r="A105" t="s">
        <v>227</v>
      </c>
      <c r="B105" t="s">
        <v>211</v>
      </c>
      <c r="C105" t="s">
        <v>18</v>
      </c>
      <c r="D105">
        <v>31</v>
      </c>
      <c r="E105">
        <v>1225</v>
      </c>
      <c r="F105">
        <v>17850000</v>
      </c>
      <c r="G105" t="s">
        <v>228</v>
      </c>
      <c r="H105">
        <f t="shared" si="4"/>
        <v>1</v>
      </c>
      <c r="I105">
        <v>45</v>
      </c>
      <c r="J105">
        <v>1.0625</v>
      </c>
      <c r="K105">
        <f t="shared" si="5"/>
        <v>0</v>
      </c>
      <c r="L105">
        <f t="shared" si="6"/>
        <v>1</v>
      </c>
      <c r="M105">
        <v>4</v>
      </c>
      <c r="N105">
        <v>281</v>
      </c>
      <c r="O105">
        <f t="shared" si="7"/>
        <v>0</v>
      </c>
      <c r="P105">
        <v>0.53600000000000003</v>
      </c>
    </row>
    <row r="106" spans="1:16" x14ac:dyDescent="0.2">
      <c r="A106" t="s">
        <v>229</v>
      </c>
      <c r="B106" t="s">
        <v>211</v>
      </c>
      <c r="C106" t="s">
        <v>18</v>
      </c>
      <c r="D106">
        <v>31</v>
      </c>
      <c r="E106">
        <v>765</v>
      </c>
      <c r="F106">
        <v>14888721</v>
      </c>
      <c r="G106" t="s">
        <v>230</v>
      </c>
      <c r="H106">
        <f t="shared" si="4"/>
        <v>1</v>
      </c>
      <c r="I106">
        <v>34</v>
      </c>
      <c r="J106">
        <v>1.0175438596491229</v>
      </c>
      <c r="K106">
        <f t="shared" si="5"/>
        <v>0</v>
      </c>
      <c r="L106">
        <f t="shared" si="6"/>
        <v>1</v>
      </c>
      <c r="M106">
        <v>15</v>
      </c>
      <c r="N106">
        <v>234</v>
      </c>
      <c r="O106">
        <f t="shared" si="7"/>
        <v>0</v>
      </c>
      <c r="P106">
        <v>0.59199999999999997</v>
      </c>
    </row>
    <row r="107" spans="1:16" x14ac:dyDescent="0.2">
      <c r="A107" t="s">
        <v>231</v>
      </c>
      <c r="B107" t="s">
        <v>211</v>
      </c>
      <c r="C107" t="s">
        <v>18</v>
      </c>
      <c r="D107">
        <v>34</v>
      </c>
      <c r="E107">
        <v>716</v>
      </c>
      <c r="F107">
        <v>14500000</v>
      </c>
      <c r="G107" t="s">
        <v>232</v>
      </c>
      <c r="H107">
        <f t="shared" si="4"/>
        <v>1</v>
      </c>
      <c r="I107">
        <v>45</v>
      </c>
      <c r="J107">
        <v>1.3538461538461539</v>
      </c>
      <c r="K107">
        <f t="shared" si="5"/>
        <v>0</v>
      </c>
      <c r="L107">
        <f t="shared" si="6"/>
        <v>1</v>
      </c>
      <c r="M107">
        <v>40</v>
      </c>
      <c r="N107">
        <v>303</v>
      </c>
      <c r="O107">
        <f t="shared" si="7"/>
        <v>0</v>
      </c>
      <c r="P107">
        <v>0.505</v>
      </c>
    </row>
    <row r="108" spans="1:16" x14ac:dyDescent="0.2">
      <c r="A108" t="s">
        <v>233</v>
      </c>
      <c r="B108" t="s">
        <v>211</v>
      </c>
      <c r="C108" t="s">
        <v>18</v>
      </c>
      <c r="D108">
        <v>25</v>
      </c>
      <c r="E108">
        <v>849</v>
      </c>
      <c r="F108">
        <v>14375000</v>
      </c>
      <c r="G108" t="s">
        <v>234</v>
      </c>
      <c r="H108">
        <f t="shared" si="4"/>
        <v>1</v>
      </c>
      <c r="I108">
        <v>57</v>
      </c>
      <c r="J108">
        <v>1.0428571428571429</v>
      </c>
      <c r="K108">
        <f t="shared" si="5"/>
        <v>0</v>
      </c>
      <c r="L108">
        <f t="shared" si="6"/>
        <v>1</v>
      </c>
      <c r="M108">
        <v>42</v>
      </c>
      <c r="N108">
        <v>329</v>
      </c>
      <c r="O108">
        <f t="shared" si="7"/>
        <v>0</v>
      </c>
      <c r="P108">
        <v>0.501</v>
      </c>
    </row>
    <row r="109" spans="1:16" x14ac:dyDescent="0.2">
      <c r="A109" t="s">
        <v>235</v>
      </c>
      <c r="B109" t="s">
        <v>211</v>
      </c>
      <c r="C109" t="s">
        <v>18</v>
      </c>
      <c r="D109">
        <v>30</v>
      </c>
      <c r="E109">
        <v>711</v>
      </c>
      <c r="F109">
        <v>13723214</v>
      </c>
      <c r="G109" t="s">
        <v>236</v>
      </c>
      <c r="H109">
        <f t="shared" si="4"/>
        <v>1</v>
      </c>
      <c r="I109">
        <v>50</v>
      </c>
      <c r="J109">
        <v>1.8854166666666667</v>
      </c>
      <c r="K109">
        <f t="shared" si="5"/>
        <v>0</v>
      </c>
      <c r="L109">
        <f t="shared" si="6"/>
        <v>1</v>
      </c>
      <c r="M109">
        <v>23</v>
      </c>
      <c r="N109">
        <v>226</v>
      </c>
      <c r="O109">
        <f t="shared" si="7"/>
        <v>0</v>
      </c>
      <c r="P109">
        <v>0.50700000000000001</v>
      </c>
    </row>
    <row r="110" spans="1:16" x14ac:dyDescent="0.2">
      <c r="A110" t="s">
        <v>237</v>
      </c>
      <c r="B110" t="s">
        <v>211</v>
      </c>
      <c r="C110" t="s">
        <v>18</v>
      </c>
      <c r="D110">
        <v>24</v>
      </c>
      <c r="E110">
        <v>178</v>
      </c>
      <c r="F110">
        <v>13000000</v>
      </c>
      <c r="G110" t="s">
        <v>238</v>
      </c>
      <c r="H110">
        <f t="shared" si="4"/>
        <v>1</v>
      </c>
      <c r="I110">
        <v>15</v>
      </c>
      <c r="J110">
        <v>1.3513513513513513</v>
      </c>
      <c r="K110">
        <f t="shared" si="5"/>
        <v>0</v>
      </c>
      <c r="L110">
        <f t="shared" si="6"/>
        <v>1</v>
      </c>
      <c r="M110">
        <v>12</v>
      </c>
      <c r="N110">
        <v>118</v>
      </c>
      <c r="O110">
        <f t="shared" si="7"/>
        <v>0</v>
      </c>
      <c r="P110">
        <v>0.376</v>
      </c>
    </row>
    <row r="111" spans="1:16" x14ac:dyDescent="0.2">
      <c r="A111" t="s">
        <v>239</v>
      </c>
      <c r="B111" t="s">
        <v>211</v>
      </c>
      <c r="C111" t="s">
        <v>18</v>
      </c>
      <c r="D111">
        <v>30</v>
      </c>
      <c r="E111">
        <v>593</v>
      </c>
      <c r="F111">
        <v>12138345</v>
      </c>
      <c r="G111" t="s">
        <v>240</v>
      </c>
      <c r="H111">
        <f t="shared" si="4"/>
        <v>1</v>
      </c>
      <c r="I111">
        <v>101</v>
      </c>
      <c r="J111">
        <v>1.828125</v>
      </c>
      <c r="K111">
        <f t="shared" si="5"/>
        <v>0</v>
      </c>
      <c r="L111">
        <f t="shared" si="6"/>
        <v>1</v>
      </c>
      <c r="M111">
        <v>84</v>
      </c>
      <c r="N111">
        <v>466</v>
      </c>
      <c r="O111">
        <f t="shared" si="7"/>
        <v>0</v>
      </c>
      <c r="P111">
        <v>0.53300000000000003</v>
      </c>
    </row>
    <row r="112" spans="1:16" x14ac:dyDescent="0.2">
      <c r="A112" t="s">
        <v>241</v>
      </c>
      <c r="B112" t="s">
        <v>211</v>
      </c>
      <c r="C112" t="s">
        <v>18</v>
      </c>
      <c r="D112">
        <v>25</v>
      </c>
      <c r="E112">
        <v>1151</v>
      </c>
      <c r="F112">
        <v>11400000</v>
      </c>
      <c r="G112" t="s">
        <v>242</v>
      </c>
      <c r="H112">
        <f t="shared" si="4"/>
        <v>1</v>
      </c>
      <c r="I112">
        <v>78</v>
      </c>
      <c r="J112">
        <v>1.319327731092437</v>
      </c>
      <c r="K112">
        <f t="shared" si="5"/>
        <v>0</v>
      </c>
      <c r="L112">
        <f t="shared" si="6"/>
        <v>1</v>
      </c>
      <c r="M112">
        <v>26</v>
      </c>
      <c r="N112">
        <v>196</v>
      </c>
      <c r="O112">
        <f t="shared" si="7"/>
        <v>0</v>
      </c>
      <c r="P112">
        <v>0.48099999999999998</v>
      </c>
    </row>
    <row r="113" spans="1:16" x14ac:dyDescent="0.2">
      <c r="A113" t="s">
        <v>243</v>
      </c>
      <c r="B113" t="s">
        <v>211</v>
      </c>
      <c r="C113" t="s">
        <v>18</v>
      </c>
      <c r="D113">
        <v>33</v>
      </c>
      <c r="E113">
        <v>809</v>
      </c>
      <c r="F113">
        <v>10863637</v>
      </c>
      <c r="G113" t="s">
        <v>244</v>
      </c>
      <c r="H113">
        <f t="shared" si="4"/>
        <v>1</v>
      </c>
      <c r="I113">
        <v>45</v>
      </c>
      <c r="J113">
        <v>2.7179487179487181</v>
      </c>
      <c r="K113">
        <f t="shared" si="5"/>
        <v>0</v>
      </c>
      <c r="L113">
        <f t="shared" si="6"/>
        <v>1</v>
      </c>
      <c r="M113">
        <v>12</v>
      </c>
      <c r="N113">
        <v>244</v>
      </c>
      <c r="O113">
        <f t="shared" si="7"/>
        <v>0</v>
      </c>
      <c r="P113">
        <v>0.65200000000000002</v>
      </c>
    </row>
    <row r="114" spans="1:16" x14ac:dyDescent="0.2">
      <c r="A114" t="s">
        <v>245</v>
      </c>
      <c r="B114" t="s">
        <v>211</v>
      </c>
      <c r="C114" t="s">
        <v>18</v>
      </c>
      <c r="D114">
        <v>20</v>
      </c>
      <c r="E114">
        <v>1647</v>
      </c>
      <c r="F114">
        <v>10245480</v>
      </c>
      <c r="G114" t="s">
        <v>246</v>
      </c>
      <c r="H114">
        <f t="shared" si="4"/>
        <v>1</v>
      </c>
      <c r="I114">
        <v>57</v>
      </c>
      <c r="J114">
        <v>1.3532934131736527</v>
      </c>
      <c r="K114">
        <f t="shared" si="5"/>
        <v>0</v>
      </c>
      <c r="L114">
        <f t="shared" si="6"/>
        <v>1</v>
      </c>
      <c r="M114">
        <v>39</v>
      </c>
      <c r="N114">
        <v>441</v>
      </c>
      <c r="O114">
        <f t="shared" si="7"/>
        <v>0</v>
      </c>
      <c r="P114">
        <v>0.61599999999999999</v>
      </c>
    </row>
    <row r="115" spans="1:16" x14ac:dyDescent="0.2">
      <c r="A115" t="s">
        <v>247</v>
      </c>
      <c r="B115" t="s">
        <v>211</v>
      </c>
      <c r="C115" t="s">
        <v>18</v>
      </c>
      <c r="D115">
        <v>27</v>
      </c>
      <c r="E115">
        <v>854</v>
      </c>
      <c r="F115">
        <v>9505100</v>
      </c>
      <c r="G115" t="s">
        <v>248</v>
      </c>
      <c r="H115">
        <f t="shared" si="4"/>
        <v>1</v>
      </c>
      <c r="I115">
        <v>84</v>
      </c>
      <c r="J115">
        <v>2.9069767441860463</v>
      </c>
      <c r="K115">
        <f t="shared" si="5"/>
        <v>0</v>
      </c>
      <c r="L115">
        <f t="shared" si="6"/>
        <v>1</v>
      </c>
      <c r="M115">
        <v>57</v>
      </c>
      <c r="N115">
        <v>396</v>
      </c>
      <c r="O115">
        <f t="shared" si="7"/>
        <v>0</v>
      </c>
      <c r="P115">
        <v>0.54</v>
      </c>
    </row>
    <row r="116" spans="1:16" x14ac:dyDescent="0.2">
      <c r="A116" t="s">
        <v>249</v>
      </c>
      <c r="B116" t="s">
        <v>211</v>
      </c>
      <c r="C116" t="s">
        <v>18</v>
      </c>
      <c r="D116">
        <v>23</v>
      </c>
      <c r="E116">
        <v>396</v>
      </c>
      <c r="F116">
        <v>9258000</v>
      </c>
      <c r="G116" t="s">
        <v>250</v>
      </c>
      <c r="H116">
        <f t="shared" si="4"/>
        <v>1</v>
      </c>
      <c r="I116">
        <v>37</v>
      </c>
      <c r="J116">
        <v>1.46875</v>
      </c>
      <c r="K116">
        <f t="shared" si="5"/>
        <v>0</v>
      </c>
      <c r="L116">
        <f t="shared" si="6"/>
        <v>1</v>
      </c>
      <c r="M116">
        <v>54</v>
      </c>
      <c r="N116">
        <v>205</v>
      </c>
      <c r="O116">
        <f t="shared" si="7"/>
        <v>0</v>
      </c>
      <c r="P116">
        <v>0.55400000000000005</v>
      </c>
    </row>
    <row r="117" spans="1:16" x14ac:dyDescent="0.2">
      <c r="A117" t="s">
        <v>251</v>
      </c>
      <c r="B117" t="s">
        <v>211</v>
      </c>
      <c r="C117" t="s">
        <v>18</v>
      </c>
      <c r="D117">
        <v>30</v>
      </c>
      <c r="E117">
        <v>603</v>
      </c>
      <c r="F117">
        <v>9258000</v>
      </c>
      <c r="G117" t="s">
        <v>252</v>
      </c>
      <c r="H117">
        <f t="shared" si="4"/>
        <v>1</v>
      </c>
      <c r="I117">
        <v>48</v>
      </c>
      <c r="J117">
        <v>2.3090909090909091</v>
      </c>
      <c r="K117">
        <f t="shared" si="5"/>
        <v>0</v>
      </c>
      <c r="L117">
        <f t="shared" si="6"/>
        <v>1</v>
      </c>
      <c r="M117">
        <v>27</v>
      </c>
      <c r="N117">
        <v>282</v>
      </c>
      <c r="O117">
        <f t="shared" si="7"/>
        <v>0</v>
      </c>
      <c r="P117">
        <v>0.55500000000000005</v>
      </c>
    </row>
    <row r="118" spans="1:16" x14ac:dyDescent="0.2">
      <c r="A118" t="s">
        <v>253</v>
      </c>
      <c r="B118" t="s">
        <v>211</v>
      </c>
      <c r="C118" t="s">
        <v>18</v>
      </c>
      <c r="D118">
        <v>21</v>
      </c>
      <c r="E118">
        <v>608</v>
      </c>
      <c r="F118">
        <v>8963640</v>
      </c>
      <c r="G118" t="s">
        <v>254</v>
      </c>
      <c r="H118">
        <f t="shared" si="4"/>
        <v>1</v>
      </c>
      <c r="I118">
        <v>21</v>
      </c>
      <c r="J118">
        <v>0.72881355932203384</v>
      </c>
      <c r="K118">
        <f t="shared" si="5"/>
        <v>0</v>
      </c>
      <c r="L118">
        <f t="shared" si="6"/>
        <v>1</v>
      </c>
      <c r="M118">
        <v>21</v>
      </c>
      <c r="N118">
        <v>318</v>
      </c>
      <c r="O118">
        <f t="shared" si="7"/>
        <v>0</v>
      </c>
      <c r="P118">
        <v>0.54200000000000004</v>
      </c>
    </row>
    <row r="119" spans="1:16" x14ac:dyDescent="0.2">
      <c r="A119" t="s">
        <v>255</v>
      </c>
      <c r="B119" t="s">
        <v>211</v>
      </c>
      <c r="C119" t="s">
        <v>18</v>
      </c>
      <c r="D119">
        <v>27</v>
      </c>
      <c r="E119">
        <v>496</v>
      </c>
      <c r="F119">
        <v>8500000</v>
      </c>
      <c r="G119" t="s">
        <v>256</v>
      </c>
      <c r="H119">
        <f t="shared" si="4"/>
        <v>1</v>
      </c>
      <c r="I119">
        <v>57</v>
      </c>
      <c r="J119">
        <v>2.1807228915662651</v>
      </c>
      <c r="K119">
        <f t="shared" si="5"/>
        <v>0</v>
      </c>
      <c r="L119">
        <f t="shared" si="6"/>
        <v>1</v>
      </c>
      <c r="M119">
        <v>32</v>
      </c>
      <c r="N119">
        <v>485</v>
      </c>
      <c r="O119">
        <f t="shared" si="7"/>
        <v>0</v>
      </c>
      <c r="P119">
        <v>0.57999999999999996</v>
      </c>
    </row>
    <row r="120" spans="1:16" x14ac:dyDescent="0.2">
      <c r="A120" t="s">
        <v>257</v>
      </c>
      <c r="B120" t="s">
        <v>211</v>
      </c>
      <c r="C120" t="s">
        <v>18</v>
      </c>
      <c r="D120">
        <v>29</v>
      </c>
      <c r="E120">
        <v>353</v>
      </c>
      <c r="F120">
        <v>8325000</v>
      </c>
      <c r="G120" t="s">
        <v>258</v>
      </c>
      <c r="H120">
        <f t="shared" si="4"/>
        <v>1</v>
      </c>
      <c r="I120">
        <v>24</v>
      </c>
      <c r="J120">
        <v>2.2666666666666666</v>
      </c>
      <c r="K120">
        <f t="shared" si="5"/>
        <v>0</v>
      </c>
      <c r="L120">
        <f t="shared" si="6"/>
        <v>1</v>
      </c>
      <c r="M120">
        <v>35</v>
      </c>
      <c r="N120">
        <v>260</v>
      </c>
      <c r="O120">
        <f t="shared" si="7"/>
        <v>0</v>
      </c>
      <c r="P120">
        <v>0.57999999999999996</v>
      </c>
    </row>
    <row r="121" spans="1:16" x14ac:dyDescent="0.2">
      <c r="A121" t="s">
        <v>259</v>
      </c>
      <c r="B121" t="s">
        <v>211</v>
      </c>
      <c r="C121" t="s">
        <v>18</v>
      </c>
      <c r="D121">
        <v>30</v>
      </c>
      <c r="E121">
        <v>471</v>
      </c>
      <c r="F121">
        <v>7199760</v>
      </c>
      <c r="G121" t="s">
        <v>260</v>
      </c>
      <c r="H121">
        <f t="shared" si="4"/>
        <v>1</v>
      </c>
      <c r="I121">
        <v>26</v>
      </c>
      <c r="J121">
        <v>1</v>
      </c>
      <c r="K121">
        <f t="shared" si="5"/>
        <v>0</v>
      </c>
      <c r="L121">
        <f t="shared" si="6"/>
        <v>1</v>
      </c>
      <c r="M121">
        <v>22</v>
      </c>
      <c r="N121">
        <v>277</v>
      </c>
      <c r="O121">
        <f t="shared" si="7"/>
        <v>0</v>
      </c>
      <c r="P121">
        <v>0.56799999999999995</v>
      </c>
    </row>
    <row r="122" spans="1:16" x14ac:dyDescent="0.2">
      <c r="A122" t="s">
        <v>261</v>
      </c>
      <c r="B122" t="s">
        <v>211</v>
      </c>
      <c r="C122" t="s">
        <v>18</v>
      </c>
      <c r="D122">
        <v>30</v>
      </c>
      <c r="E122">
        <v>73</v>
      </c>
      <c r="F122">
        <v>7000000</v>
      </c>
      <c r="G122" t="s">
        <v>262</v>
      </c>
      <c r="H122">
        <f t="shared" si="4"/>
        <v>1</v>
      </c>
      <c r="I122">
        <v>13</v>
      </c>
      <c r="J122">
        <v>2.625</v>
      </c>
      <c r="K122">
        <f t="shared" si="5"/>
        <v>0</v>
      </c>
      <c r="L122">
        <f t="shared" si="6"/>
        <v>1</v>
      </c>
      <c r="M122">
        <v>5</v>
      </c>
      <c r="N122">
        <v>24</v>
      </c>
      <c r="O122">
        <f t="shared" si="7"/>
        <v>0</v>
      </c>
      <c r="P122">
        <v>0.63500000000000001</v>
      </c>
    </row>
    <row r="123" spans="1:16" x14ac:dyDescent="0.2">
      <c r="A123" t="s">
        <v>263</v>
      </c>
      <c r="B123" t="s">
        <v>211</v>
      </c>
      <c r="C123" t="s">
        <v>18</v>
      </c>
      <c r="D123">
        <v>25</v>
      </c>
      <c r="E123">
        <v>375</v>
      </c>
      <c r="F123">
        <v>6493000</v>
      </c>
      <c r="G123" t="s">
        <v>264</v>
      </c>
      <c r="H123">
        <f t="shared" si="4"/>
        <v>1</v>
      </c>
      <c r="I123">
        <v>19</v>
      </c>
      <c r="J123">
        <v>1.2962962962962963</v>
      </c>
      <c r="K123">
        <f t="shared" si="5"/>
        <v>0</v>
      </c>
      <c r="L123">
        <f t="shared" si="6"/>
        <v>1</v>
      </c>
      <c r="M123">
        <v>7</v>
      </c>
      <c r="N123">
        <v>205</v>
      </c>
      <c r="O123">
        <f t="shared" si="7"/>
        <v>0</v>
      </c>
      <c r="P123">
        <v>0.52700000000000002</v>
      </c>
    </row>
    <row r="124" spans="1:16" x14ac:dyDescent="0.2">
      <c r="A124" t="s">
        <v>265</v>
      </c>
      <c r="B124" t="s">
        <v>211</v>
      </c>
      <c r="C124" t="s">
        <v>18</v>
      </c>
      <c r="D124">
        <v>25</v>
      </c>
      <c r="E124">
        <v>115</v>
      </c>
      <c r="F124">
        <v>5500000</v>
      </c>
      <c r="G124" t="s">
        <v>266</v>
      </c>
      <c r="H124">
        <f t="shared" si="4"/>
        <v>1</v>
      </c>
      <c r="I124">
        <v>6</v>
      </c>
      <c r="J124">
        <v>2.3333333333333335</v>
      </c>
      <c r="K124">
        <f t="shared" si="5"/>
        <v>0</v>
      </c>
      <c r="L124">
        <f t="shared" si="6"/>
        <v>1</v>
      </c>
      <c r="M124">
        <v>1</v>
      </c>
      <c r="N124">
        <v>86</v>
      </c>
      <c r="O124">
        <f t="shared" si="7"/>
        <v>0</v>
      </c>
      <c r="P124">
        <v>0.55600000000000005</v>
      </c>
    </row>
    <row r="125" spans="1:16" x14ac:dyDescent="0.2">
      <c r="A125" t="s">
        <v>267</v>
      </c>
      <c r="B125" t="s">
        <v>211</v>
      </c>
      <c r="C125" t="s">
        <v>18</v>
      </c>
      <c r="D125">
        <v>23</v>
      </c>
      <c r="E125">
        <v>12</v>
      </c>
      <c r="F125">
        <v>4326825</v>
      </c>
      <c r="G125" t="s">
        <v>268</v>
      </c>
      <c r="H125">
        <f t="shared" si="4"/>
        <v>1</v>
      </c>
      <c r="I125">
        <v>2</v>
      </c>
      <c r="J125">
        <v>0.5</v>
      </c>
      <c r="K125">
        <f t="shared" si="5"/>
        <v>0</v>
      </c>
      <c r="L125">
        <f t="shared" si="6"/>
        <v>1</v>
      </c>
      <c r="M125">
        <v>1</v>
      </c>
      <c r="N125">
        <v>5</v>
      </c>
      <c r="O125">
        <f t="shared" si="7"/>
        <v>0</v>
      </c>
      <c r="P125">
        <v>0.5</v>
      </c>
    </row>
    <row r="126" spans="1:16" x14ac:dyDescent="0.2">
      <c r="A126" t="s">
        <v>269</v>
      </c>
      <c r="B126" t="s">
        <v>211</v>
      </c>
      <c r="C126" t="s">
        <v>18</v>
      </c>
      <c r="D126">
        <v>20</v>
      </c>
      <c r="E126">
        <v>53</v>
      </c>
      <c r="F126">
        <v>4245720</v>
      </c>
      <c r="G126" t="s">
        <v>270</v>
      </c>
      <c r="H126">
        <f t="shared" si="4"/>
        <v>1</v>
      </c>
      <c r="I126">
        <v>1</v>
      </c>
      <c r="J126">
        <v>0.5714285714285714</v>
      </c>
      <c r="K126">
        <f t="shared" si="5"/>
        <v>0</v>
      </c>
      <c r="L126">
        <f t="shared" si="6"/>
        <v>1</v>
      </c>
      <c r="M126">
        <v>5</v>
      </c>
      <c r="N126">
        <v>37</v>
      </c>
      <c r="O126">
        <f t="shared" si="7"/>
        <v>0</v>
      </c>
      <c r="P126">
        <v>0.48</v>
      </c>
    </row>
    <row r="127" spans="1:16" x14ac:dyDescent="0.2">
      <c r="A127" t="s">
        <v>271</v>
      </c>
      <c r="B127" t="s">
        <v>211</v>
      </c>
      <c r="C127" t="s">
        <v>18</v>
      </c>
      <c r="D127">
        <v>24</v>
      </c>
      <c r="E127">
        <v>970</v>
      </c>
      <c r="F127">
        <v>4161000</v>
      </c>
      <c r="G127" t="s">
        <v>272</v>
      </c>
      <c r="H127">
        <f t="shared" si="4"/>
        <v>1</v>
      </c>
      <c r="I127">
        <v>76</v>
      </c>
      <c r="J127">
        <v>2.6666666666666665</v>
      </c>
      <c r="K127">
        <f t="shared" si="5"/>
        <v>0</v>
      </c>
      <c r="L127">
        <f t="shared" si="6"/>
        <v>1</v>
      </c>
      <c r="M127">
        <v>63</v>
      </c>
      <c r="N127">
        <v>309</v>
      </c>
      <c r="O127">
        <f t="shared" si="7"/>
        <v>0</v>
      </c>
      <c r="P127">
        <v>0.64300000000000002</v>
      </c>
    </row>
    <row r="128" spans="1:16" x14ac:dyDescent="0.2">
      <c r="A128" t="s">
        <v>273</v>
      </c>
      <c r="B128" t="s">
        <v>211</v>
      </c>
      <c r="C128" t="s">
        <v>18</v>
      </c>
      <c r="D128">
        <v>20</v>
      </c>
      <c r="E128">
        <v>341</v>
      </c>
      <c r="F128">
        <v>4033440</v>
      </c>
      <c r="G128" t="s">
        <v>274</v>
      </c>
      <c r="H128">
        <f t="shared" si="4"/>
        <v>1</v>
      </c>
      <c r="I128">
        <v>43</v>
      </c>
      <c r="J128">
        <v>2.5454545454545454</v>
      </c>
      <c r="K128">
        <f t="shared" si="5"/>
        <v>0</v>
      </c>
      <c r="L128">
        <f t="shared" si="6"/>
        <v>1</v>
      </c>
      <c r="M128">
        <v>18</v>
      </c>
      <c r="N128">
        <v>174</v>
      </c>
      <c r="O128">
        <f t="shared" si="7"/>
        <v>0</v>
      </c>
      <c r="P128">
        <v>0.49199999999999999</v>
      </c>
    </row>
    <row r="129" spans="1:16" x14ac:dyDescent="0.2">
      <c r="A129" t="s">
        <v>275</v>
      </c>
      <c r="B129" t="s">
        <v>211</v>
      </c>
      <c r="C129" t="s">
        <v>18</v>
      </c>
      <c r="D129">
        <v>24</v>
      </c>
      <c r="E129">
        <v>573</v>
      </c>
      <c r="F129">
        <v>4033440</v>
      </c>
      <c r="G129" t="s">
        <v>276</v>
      </c>
      <c r="H129">
        <f t="shared" si="4"/>
        <v>1</v>
      </c>
      <c r="I129">
        <v>37</v>
      </c>
      <c r="J129">
        <v>2.15</v>
      </c>
      <c r="K129">
        <f t="shared" si="5"/>
        <v>0</v>
      </c>
      <c r="L129">
        <f t="shared" si="6"/>
        <v>1</v>
      </c>
      <c r="M129">
        <v>16</v>
      </c>
      <c r="N129">
        <v>199</v>
      </c>
      <c r="O129">
        <f t="shared" si="7"/>
        <v>0</v>
      </c>
      <c r="P129">
        <v>0.54100000000000004</v>
      </c>
    </row>
    <row r="130" spans="1:16" x14ac:dyDescent="0.2">
      <c r="A130" t="s">
        <v>277</v>
      </c>
      <c r="B130" t="s">
        <v>211</v>
      </c>
      <c r="C130" t="s">
        <v>18</v>
      </c>
      <c r="D130">
        <v>27</v>
      </c>
      <c r="E130">
        <v>590</v>
      </c>
      <c r="F130">
        <v>4000000</v>
      </c>
      <c r="G130" t="s">
        <v>278</v>
      </c>
      <c r="H130">
        <f t="shared" ref="H130:H193" si="8">IF(B130="Forward", 1, 0)</f>
        <v>1</v>
      </c>
      <c r="I130">
        <v>52</v>
      </c>
      <c r="J130">
        <v>2.125</v>
      </c>
      <c r="K130">
        <f t="shared" ref="K130:K193" si="9">IF(C130="East", 1, 0)</f>
        <v>0</v>
      </c>
      <c r="L130">
        <f t="shared" ref="L130:L193" si="10">IF(C130="West", 1, 0)</f>
        <v>1</v>
      </c>
      <c r="M130">
        <v>25</v>
      </c>
      <c r="N130">
        <v>326</v>
      </c>
      <c r="O130">
        <f t="shared" ref="O130:O193" si="11">IF($B130="Guard", 1, 0)</f>
        <v>0</v>
      </c>
      <c r="P130">
        <v>0.6</v>
      </c>
    </row>
    <row r="131" spans="1:16" x14ac:dyDescent="0.2">
      <c r="A131" t="s">
        <v>279</v>
      </c>
      <c r="B131" t="s">
        <v>211</v>
      </c>
      <c r="C131" t="s">
        <v>18</v>
      </c>
      <c r="D131">
        <v>25</v>
      </c>
      <c r="E131">
        <v>84</v>
      </c>
      <c r="F131">
        <v>3870370</v>
      </c>
      <c r="G131" t="s">
        <v>280</v>
      </c>
      <c r="H131">
        <f t="shared" si="8"/>
        <v>1</v>
      </c>
      <c r="I131">
        <v>8</v>
      </c>
      <c r="J131">
        <v>4</v>
      </c>
      <c r="K131">
        <f t="shared" si="9"/>
        <v>0</v>
      </c>
      <c r="L131">
        <f t="shared" si="10"/>
        <v>1</v>
      </c>
      <c r="M131">
        <v>0</v>
      </c>
      <c r="N131">
        <v>40</v>
      </c>
      <c r="O131">
        <f t="shared" si="11"/>
        <v>0</v>
      </c>
      <c r="P131">
        <v>0.49299999999999999</v>
      </c>
    </row>
    <row r="132" spans="1:16" x14ac:dyDescent="0.2">
      <c r="A132" t="s">
        <v>281</v>
      </c>
      <c r="B132" t="s">
        <v>211</v>
      </c>
      <c r="C132" t="s">
        <v>18</v>
      </c>
      <c r="D132">
        <v>26</v>
      </c>
      <c r="E132">
        <v>231</v>
      </c>
      <c r="F132">
        <v>3761085</v>
      </c>
      <c r="G132" t="s">
        <v>282</v>
      </c>
      <c r="H132">
        <f t="shared" si="8"/>
        <v>1</v>
      </c>
      <c r="I132">
        <v>29</v>
      </c>
      <c r="J132">
        <v>1.0769230769230769</v>
      </c>
      <c r="K132">
        <f t="shared" si="9"/>
        <v>0</v>
      </c>
      <c r="L132">
        <f t="shared" si="10"/>
        <v>1</v>
      </c>
      <c r="M132">
        <v>19</v>
      </c>
      <c r="N132">
        <v>67</v>
      </c>
      <c r="O132">
        <f t="shared" si="11"/>
        <v>0</v>
      </c>
      <c r="P132">
        <v>0.55700000000000005</v>
      </c>
    </row>
    <row r="133" spans="1:16" x14ac:dyDescent="0.2">
      <c r="A133" t="s">
        <v>283</v>
      </c>
      <c r="B133" t="s">
        <v>211</v>
      </c>
      <c r="C133" t="s">
        <v>18</v>
      </c>
      <c r="D133">
        <v>27</v>
      </c>
      <c r="E133">
        <v>315</v>
      </c>
      <c r="F133">
        <v>3717000</v>
      </c>
      <c r="G133" t="s">
        <v>284</v>
      </c>
      <c r="H133">
        <f t="shared" si="8"/>
        <v>1</v>
      </c>
      <c r="I133">
        <v>20</v>
      </c>
      <c r="J133">
        <v>1.9166666666666667</v>
      </c>
      <c r="K133">
        <f t="shared" si="9"/>
        <v>0</v>
      </c>
      <c r="L133">
        <f t="shared" si="10"/>
        <v>1</v>
      </c>
      <c r="M133">
        <v>16</v>
      </c>
      <c r="N133">
        <v>132</v>
      </c>
      <c r="O133">
        <f t="shared" si="11"/>
        <v>0</v>
      </c>
      <c r="P133">
        <v>0.504</v>
      </c>
    </row>
    <row r="134" spans="1:16" x14ac:dyDescent="0.2">
      <c r="A134" t="s">
        <v>285</v>
      </c>
      <c r="B134" t="s">
        <v>211</v>
      </c>
      <c r="C134" t="s">
        <v>18</v>
      </c>
      <c r="D134">
        <v>25</v>
      </c>
      <c r="E134">
        <v>874</v>
      </c>
      <c r="F134">
        <v>3562178</v>
      </c>
      <c r="G134" t="s">
        <v>286</v>
      </c>
      <c r="H134">
        <f t="shared" si="8"/>
        <v>1</v>
      </c>
      <c r="I134">
        <v>35</v>
      </c>
      <c r="J134">
        <v>1.1238938053097345</v>
      </c>
      <c r="K134">
        <f t="shared" si="9"/>
        <v>0</v>
      </c>
      <c r="L134">
        <f t="shared" si="10"/>
        <v>1</v>
      </c>
      <c r="M134">
        <v>41</v>
      </c>
      <c r="N134">
        <v>417</v>
      </c>
      <c r="O134">
        <f t="shared" si="11"/>
        <v>0</v>
      </c>
      <c r="P134">
        <v>0.53300000000000003</v>
      </c>
    </row>
    <row r="135" spans="1:16" x14ac:dyDescent="0.2">
      <c r="A135" t="s">
        <v>287</v>
      </c>
      <c r="B135" t="s">
        <v>211</v>
      </c>
      <c r="C135" t="s">
        <v>18</v>
      </c>
      <c r="D135">
        <v>22</v>
      </c>
      <c r="E135">
        <v>1162</v>
      </c>
      <c r="F135">
        <v>3550800</v>
      </c>
      <c r="G135" t="s">
        <v>288</v>
      </c>
      <c r="H135">
        <f t="shared" si="8"/>
        <v>1</v>
      </c>
      <c r="I135">
        <v>40</v>
      </c>
      <c r="J135">
        <v>0.90909090909090906</v>
      </c>
      <c r="K135">
        <f t="shared" si="9"/>
        <v>0</v>
      </c>
      <c r="L135">
        <f t="shared" si="10"/>
        <v>1</v>
      </c>
      <c r="M135">
        <v>54</v>
      </c>
      <c r="N135">
        <v>445</v>
      </c>
      <c r="O135">
        <f t="shared" si="11"/>
        <v>0</v>
      </c>
      <c r="P135">
        <v>0.64600000000000002</v>
      </c>
    </row>
    <row r="136" spans="1:16" x14ac:dyDescent="0.2">
      <c r="A136" t="s">
        <v>289</v>
      </c>
      <c r="B136" t="s">
        <v>211</v>
      </c>
      <c r="C136" t="s">
        <v>18</v>
      </c>
      <c r="D136">
        <v>25</v>
      </c>
      <c r="E136">
        <v>434</v>
      </c>
      <c r="F136">
        <v>3491159</v>
      </c>
      <c r="G136" t="s">
        <v>290</v>
      </c>
      <c r="H136">
        <f t="shared" si="8"/>
        <v>1</v>
      </c>
      <c r="I136">
        <v>38</v>
      </c>
      <c r="J136">
        <v>2.2244897959183674</v>
      </c>
      <c r="K136">
        <f t="shared" si="9"/>
        <v>0</v>
      </c>
      <c r="L136">
        <f t="shared" si="10"/>
        <v>1</v>
      </c>
      <c r="M136">
        <v>12</v>
      </c>
      <c r="N136">
        <v>377</v>
      </c>
      <c r="O136">
        <f t="shared" si="11"/>
        <v>0</v>
      </c>
      <c r="P136">
        <v>0.53100000000000003</v>
      </c>
    </row>
    <row r="137" spans="1:16" x14ac:dyDescent="0.2">
      <c r="A137" t="s">
        <v>291</v>
      </c>
      <c r="B137" t="s">
        <v>211</v>
      </c>
      <c r="C137" t="s">
        <v>18</v>
      </c>
      <c r="D137">
        <v>31</v>
      </c>
      <c r="E137">
        <v>197</v>
      </c>
      <c r="F137">
        <v>3077704</v>
      </c>
      <c r="G137" t="s">
        <v>292</v>
      </c>
      <c r="H137">
        <f t="shared" si="8"/>
        <v>1</v>
      </c>
      <c r="I137">
        <v>14</v>
      </c>
      <c r="J137">
        <v>2.6363636363636362</v>
      </c>
      <c r="K137">
        <f t="shared" si="9"/>
        <v>0</v>
      </c>
      <c r="L137">
        <f t="shared" si="10"/>
        <v>1</v>
      </c>
      <c r="M137">
        <v>8</v>
      </c>
      <c r="N137">
        <v>75</v>
      </c>
      <c r="O137">
        <f t="shared" si="11"/>
        <v>0</v>
      </c>
      <c r="P137">
        <v>0.55800000000000005</v>
      </c>
    </row>
    <row r="138" spans="1:16" x14ac:dyDescent="0.2">
      <c r="A138" t="s">
        <v>293</v>
      </c>
      <c r="B138" t="s">
        <v>211</v>
      </c>
      <c r="C138" t="s">
        <v>18</v>
      </c>
      <c r="D138">
        <v>19</v>
      </c>
      <c r="E138">
        <v>367</v>
      </c>
      <c r="F138">
        <v>2964840</v>
      </c>
      <c r="G138" t="s">
        <v>294</v>
      </c>
      <c r="H138">
        <f t="shared" si="8"/>
        <v>1</v>
      </c>
      <c r="I138">
        <v>20</v>
      </c>
      <c r="J138">
        <v>0.97979797979797978</v>
      </c>
      <c r="K138">
        <f t="shared" si="9"/>
        <v>0</v>
      </c>
      <c r="L138">
        <f t="shared" si="10"/>
        <v>1</v>
      </c>
      <c r="M138">
        <v>42</v>
      </c>
      <c r="N138">
        <v>212</v>
      </c>
      <c r="O138">
        <f t="shared" si="11"/>
        <v>0</v>
      </c>
      <c r="P138">
        <v>0.41199999999999998</v>
      </c>
    </row>
    <row r="139" spans="1:16" x14ac:dyDescent="0.2">
      <c r="A139" t="s">
        <v>295</v>
      </c>
      <c r="B139" t="s">
        <v>211</v>
      </c>
      <c r="C139" t="s">
        <v>18</v>
      </c>
      <c r="D139">
        <v>21</v>
      </c>
      <c r="E139">
        <v>122</v>
      </c>
      <c r="F139">
        <v>2892000</v>
      </c>
      <c r="G139" t="s">
        <v>296</v>
      </c>
      <c r="H139">
        <f t="shared" si="8"/>
        <v>1</v>
      </c>
      <c r="I139">
        <v>8</v>
      </c>
      <c r="J139">
        <v>0.75</v>
      </c>
      <c r="K139">
        <f t="shared" si="9"/>
        <v>0</v>
      </c>
      <c r="L139">
        <f t="shared" si="10"/>
        <v>1</v>
      </c>
      <c r="M139">
        <v>8</v>
      </c>
      <c r="N139">
        <v>68</v>
      </c>
      <c r="O139">
        <f t="shared" si="11"/>
        <v>0</v>
      </c>
      <c r="P139">
        <v>0.505</v>
      </c>
    </row>
    <row r="140" spans="1:16" x14ac:dyDescent="0.2">
      <c r="A140" t="s">
        <v>297</v>
      </c>
      <c r="B140" t="s">
        <v>211</v>
      </c>
      <c r="C140" t="s">
        <v>18</v>
      </c>
      <c r="D140">
        <v>24</v>
      </c>
      <c r="E140">
        <v>610</v>
      </c>
      <c r="F140">
        <v>2602920</v>
      </c>
      <c r="G140" t="s">
        <v>298</v>
      </c>
      <c r="H140">
        <f t="shared" si="8"/>
        <v>1</v>
      </c>
      <c r="I140">
        <v>60</v>
      </c>
      <c r="J140">
        <v>2.8787878787878789</v>
      </c>
      <c r="K140">
        <f t="shared" si="9"/>
        <v>0</v>
      </c>
      <c r="L140">
        <f t="shared" si="10"/>
        <v>1</v>
      </c>
      <c r="M140">
        <v>51</v>
      </c>
      <c r="N140">
        <v>328</v>
      </c>
      <c r="O140">
        <f t="shared" si="11"/>
        <v>0</v>
      </c>
      <c r="P140">
        <v>0.53700000000000003</v>
      </c>
    </row>
    <row r="141" spans="1:16" x14ac:dyDescent="0.2">
      <c r="A141" t="s">
        <v>299</v>
      </c>
      <c r="B141" t="s">
        <v>211</v>
      </c>
      <c r="C141" t="s">
        <v>18</v>
      </c>
      <c r="D141">
        <v>20</v>
      </c>
      <c r="E141">
        <v>754</v>
      </c>
      <c r="F141">
        <v>2339160</v>
      </c>
      <c r="G141" t="s">
        <v>300</v>
      </c>
      <c r="H141">
        <f t="shared" si="8"/>
        <v>1</v>
      </c>
      <c r="I141">
        <v>29</v>
      </c>
      <c r="J141">
        <v>0.81147540983606559</v>
      </c>
      <c r="K141">
        <f t="shared" si="9"/>
        <v>0</v>
      </c>
      <c r="L141">
        <f t="shared" si="10"/>
        <v>1</v>
      </c>
      <c r="M141">
        <v>25</v>
      </c>
      <c r="N141">
        <v>396</v>
      </c>
      <c r="O141">
        <f t="shared" si="11"/>
        <v>0</v>
      </c>
      <c r="P141">
        <v>0.45600000000000002</v>
      </c>
    </row>
    <row r="142" spans="1:16" x14ac:dyDescent="0.2">
      <c r="A142" t="s">
        <v>301</v>
      </c>
      <c r="B142" t="s">
        <v>211</v>
      </c>
      <c r="C142" t="s">
        <v>18</v>
      </c>
      <c r="D142">
        <v>20</v>
      </c>
      <c r="E142">
        <v>136</v>
      </c>
      <c r="F142">
        <v>2284800</v>
      </c>
      <c r="G142" t="s">
        <v>302</v>
      </c>
      <c r="H142">
        <f t="shared" si="8"/>
        <v>1</v>
      </c>
      <c r="I142">
        <v>8</v>
      </c>
      <c r="J142">
        <v>1.4285714285714286</v>
      </c>
      <c r="K142">
        <f t="shared" si="9"/>
        <v>0</v>
      </c>
      <c r="L142">
        <f t="shared" si="10"/>
        <v>1</v>
      </c>
      <c r="M142">
        <v>4</v>
      </c>
      <c r="N142">
        <v>65</v>
      </c>
      <c r="O142">
        <f t="shared" si="11"/>
        <v>0</v>
      </c>
      <c r="P142">
        <v>0.59599999999999997</v>
      </c>
    </row>
    <row r="143" spans="1:16" x14ac:dyDescent="0.2">
      <c r="A143" t="s">
        <v>303</v>
      </c>
      <c r="B143" t="s">
        <v>211</v>
      </c>
      <c r="C143" t="s">
        <v>18</v>
      </c>
      <c r="D143">
        <v>20</v>
      </c>
      <c r="E143">
        <v>220</v>
      </c>
      <c r="F143">
        <v>2210640</v>
      </c>
      <c r="G143" t="s">
        <v>304</v>
      </c>
      <c r="H143">
        <f t="shared" si="8"/>
        <v>1</v>
      </c>
      <c r="I143">
        <v>5</v>
      </c>
      <c r="J143">
        <v>1.2777777777777777</v>
      </c>
      <c r="K143">
        <f t="shared" si="9"/>
        <v>0</v>
      </c>
      <c r="L143">
        <f t="shared" si="10"/>
        <v>1</v>
      </c>
      <c r="M143">
        <v>13</v>
      </c>
      <c r="N143">
        <v>128</v>
      </c>
      <c r="O143">
        <f t="shared" si="11"/>
        <v>0</v>
      </c>
      <c r="P143">
        <v>0.55100000000000005</v>
      </c>
    </row>
    <row r="144" spans="1:16" x14ac:dyDescent="0.2">
      <c r="A144" t="s">
        <v>305</v>
      </c>
      <c r="B144" t="s">
        <v>211</v>
      </c>
      <c r="C144" t="s">
        <v>18</v>
      </c>
      <c r="D144">
        <v>21</v>
      </c>
      <c r="E144">
        <v>69</v>
      </c>
      <c r="F144">
        <v>2058240</v>
      </c>
      <c r="G144" t="s">
        <v>306</v>
      </c>
      <c r="H144">
        <f t="shared" si="8"/>
        <v>1</v>
      </c>
      <c r="I144">
        <v>3</v>
      </c>
      <c r="J144">
        <v>0.53846153846153844</v>
      </c>
      <c r="K144">
        <f t="shared" si="9"/>
        <v>0</v>
      </c>
      <c r="L144">
        <f t="shared" si="10"/>
        <v>1</v>
      </c>
      <c r="M144">
        <v>10</v>
      </c>
      <c r="N144">
        <v>24</v>
      </c>
      <c r="O144">
        <f t="shared" si="11"/>
        <v>0</v>
      </c>
      <c r="P144">
        <v>0.50900000000000001</v>
      </c>
    </row>
    <row r="145" spans="1:16" x14ac:dyDescent="0.2">
      <c r="A145" t="s">
        <v>307</v>
      </c>
      <c r="B145" t="s">
        <v>211</v>
      </c>
      <c r="C145" t="s">
        <v>18</v>
      </c>
      <c r="D145">
        <v>21</v>
      </c>
      <c r="E145">
        <v>881</v>
      </c>
      <c r="F145">
        <v>2048040</v>
      </c>
      <c r="G145" t="s">
        <v>308</v>
      </c>
      <c r="H145">
        <f t="shared" si="8"/>
        <v>1</v>
      </c>
      <c r="I145">
        <v>40</v>
      </c>
      <c r="J145">
        <v>1.5512820512820513</v>
      </c>
      <c r="K145">
        <f t="shared" si="9"/>
        <v>0</v>
      </c>
      <c r="L145">
        <f t="shared" si="10"/>
        <v>1</v>
      </c>
      <c r="M145">
        <v>24</v>
      </c>
      <c r="N145">
        <v>412</v>
      </c>
      <c r="O145">
        <f t="shared" si="11"/>
        <v>0</v>
      </c>
      <c r="P145">
        <v>0.52200000000000002</v>
      </c>
    </row>
    <row r="146" spans="1:16" x14ac:dyDescent="0.2">
      <c r="A146" t="s">
        <v>309</v>
      </c>
      <c r="B146" t="s">
        <v>211</v>
      </c>
      <c r="C146" t="s">
        <v>18</v>
      </c>
      <c r="D146">
        <v>26</v>
      </c>
      <c r="E146">
        <v>526</v>
      </c>
      <c r="F146">
        <v>2000000</v>
      </c>
      <c r="G146" t="s">
        <v>310</v>
      </c>
      <c r="H146">
        <f t="shared" si="8"/>
        <v>1</v>
      </c>
      <c r="I146">
        <v>55</v>
      </c>
      <c r="J146">
        <v>2</v>
      </c>
      <c r="K146">
        <f t="shared" si="9"/>
        <v>0</v>
      </c>
      <c r="L146">
        <f t="shared" si="10"/>
        <v>1</v>
      </c>
      <c r="M146">
        <v>17</v>
      </c>
      <c r="N146">
        <v>273</v>
      </c>
      <c r="O146">
        <f t="shared" si="11"/>
        <v>0</v>
      </c>
      <c r="P146">
        <v>0.59599999999999997</v>
      </c>
    </row>
    <row r="147" spans="1:16" x14ac:dyDescent="0.2">
      <c r="A147" t="s">
        <v>311</v>
      </c>
      <c r="B147" t="s">
        <v>211</v>
      </c>
      <c r="C147" t="s">
        <v>18</v>
      </c>
      <c r="D147">
        <v>20</v>
      </c>
      <c r="E147">
        <v>427</v>
      </c>
      <c r="F147">
        <v>1964760</v>
      </c>
      <c r="G147" t="s">
        <v>312</v>
      </c>
      <c r="H147">
        <f t="shared" si="8"/>
        <v>1</v>
      </c>
      <c r="I147">
        <v>35</v>
      </c>
      <c r="J147">
        <v>1.5106382978723405</v>
      </c>
      <c r="K147">
        <f t="shared" si="9"/>
        <v>0</v>
      </c>
      <c r="L147">
        <f t="shared" si="10"/>
        <v>1</v>
      </c>
      <c r="M147">
        <v>60</v>
      </c>
      <c r="N147">
        <v>232</v>
      </c>
      <c r="O147">
        <f t="shared" si="11"/>
        <v>0</v>
      </c>
      <c r="P147">
        <v>0.54500000000000004</v>
      </c>
    </row>
    <row r="148" spans="1:16" x14ac:dyDescent="0.2">
      <c r="A148" t="s">
        <v>313</v>
      </c>
      <c r="B148" t="s">
        <v>211</v>
      </c>
      <c r="C148" t="s">
        <v>18</v>
      </c>
      <c r="D148">
        <v>21</v>
      </c>
      <c r="E148">
        <v>22</v>
      </c>
      <c r="F148">
        <v>1900000</v>
      </c>
      <c r="G148" t="s">
        <v>314</v>
      </c>
      <c r="H148">
        <f t="shared" si="8"/>
        <v>1</v>
      </c>
      <c r="I148">
        <v>3</v>
      </c>
      <c r="J148">
        <v>0.14285714285714285</v>
      </c>
      <c r="K148">
        <f t="shared" si="9"/>
        <v>0</v>
      </c>
      <c r="L148">
        <f t="shared" si="10"/>
        <v>1</v>
      </c>
      <c r="M148">
        <v>1</v>
      </c>
      <c r="N148">
        <v>14</v>
      </c>
      <c r="O148">
        <f t="shared" si="11"/>
        <v>0</v>
      </c>
      <c r="P148">
        <v>0.63300000000000001</v>
      </c>
    </row>
    <row r="149" spans="1:16" x14ac:dyDescent="0.2">
      <c r="A149" t="s">
        <v>315</v>
      </c>
      <c r="B149" t="s">
        <v>211</v>
      </c>
      <c r="C149" t="s">
        <v>18</v>
      </c>
      <c r="D149">
        <v>23</v>
      </c>
      <c r="E149">
        <v>13</v>
      </c>
      <c r="F149">
        <v>1824003</v>
      </c>
      <c r="G149" t="s">
        <v>316</v>
      </c>
      <c r="H149">
        <f t="shared" si="8"/>
        <v>1</v>
      </c>
      <c r="I149">
        <v>0</v>
      </c>
      <c r="J149">
        <v>1</v>
      </c>
      <c r="K149">
        <f t="shared" si="9"/>
        <v>0</v>
      </c>
      <c r="L149">
        <f t="shared" si="10"/>
        <v>1</v>
      </c>
      <c r="M149">
        <v>2</v>
      </c>
      <c r="N149">
        <v>13</v>
      </c>
      <c r="O149">
        <f t="shared" si="11"/>
        <v>0</v>
      </c>
      <c r="P149">
        <v>0.39300000000000002</v>
      </c>
    </row>
    <row r="150" spans="1:16" x14ac:dyDescent="0.2">
      <c r="A150" t="s">
        <v>317</v>
      </c>
      <c r="B150" t="s">
        <v>211</v>
      </c>
      <c r="C150" t="s">
        <v>18</v>
      </c>
      <c r="D150">
        <v>28</v>
      </c>
      <c r="E150">
        <v>276</v>
      </c>
      <c r="F150">
        <v>1824003</v>
      </c>
      <c r="G150" t="s">
        <v>318</v>
      </c>
      <c r="H150">
        <f t="shared" si="8"/>
        <v>1</v>
      </c>
      <c r="I150">
        <v>30</v>
      </c>
      <c r="J150">
        <v>1.8235294117647058</v>
      </c>
      <c r="K150">
        <f t="shared" si="9"/>
        <v>0</v>
      </c>
      <c r="L150">
        <f t="shared" si="10"/>
        <v>1</v>
      </c>
      <c r="M150">
        <v>21</v>
      </c>
      <c r="N150">
        <v>118</v>
      </c>
      <c r="O150">
        <f t="shared" si="11"/>
        <v>0</v>
      </c>
      <c r="P150">
        <v>0.52500000000000002</v>
      </c>
    </row>
    <row r="151" spans="1:16" x14ac:dyDescent="0.2">
      <c r="A151" t="s">
        <v>319</v>
      </c>
      <c r="B151" t="s">
        <v>211</v>
      </c>
      <c r="C151" t="s">
        <v>18</v>
      </c>
      <c r="D151">
        <v>27</v>
      </c>
      <c r="E151">
        <v>500</v>
      </c>
      <c r="F151">
        <v>1783557</v>
      </c>
      <c r="G151" t="s">
        <v>320</v>
      </c>
      <c r="H151">
        <f t="shared" si="8"/>
        <v>1</v>
      </c>
      <c r="I151">
        <v>25</v>
      </c>
      <c r="J151">
        <v>1.1568627450980393</v>
      </c>
      <c r="K151">
        <f t="shared" si="9"/>
        <v>0</v>
      </c>
      <c r="L151">
        <f t="shared" si="10"/>
        <v>1</v>
      </c>
      <c r="M151">
        <v>8</v>
      </c>
      <c r="N151">
        <v>176</v>
      </c>
      <c r="O151">
        <f t="shared" si="11"/>
        <v>0</v>
      </c>
      <c r="P151">
        <v>0.59</v>
      </c>
    </row>
    <row r="152" spans="1:16" x14ac:dyDescent="0.2">
      <c r="A152" t="s">
        <v>321</v>
      </c>
      <c r="B152" t="s">
        <v>211</v>
      </c>
      <c r="C152" t="s">
        <v>18</v>
      </c>
      <c r="D152">
        <v>28</v>
      </c>
      <c r="E152">
        <v>122</v>
      </c>
      <c r="F152">
        <v>1762796</v>
      </c>
      <c r="G152" t="s">
        <v>322</v>
      </c>
      <c r="H152">
        <f t="shared" si="8"/>
        <v>1</v>
      </c>
      <c r="I152">
        <v>7</v>
      </c>
      <c r="J152">
        <v>1.2</v>
      </c>
      <c r="K152">
        <f t="shared" si="9"/>
        <v>0</v>
      </c>
      <c r="L152">
        <f t="shared" si="10"/>
        <v>1</v>
      </c>
      <c r="M152">
        <v>0</v>
      </c>
      <c r="N152">
        <v>54</v>
      </c>
      <c r="O152">
        <f t="shared" si="11"/>
        <v>0</v>
      </c>
      <c r="P152">
        <v>0.60199999999999998</v>
      </c>
    </row>
    <row r="153" spans="1:16" x14ac:dyDescent="0.2">
      <c r="A153" t="s">
        <v>323</v>
      </c>
      <c r="B153" t="s">
        <v>211</v>
      </c>
      <c r="C153" t="s">
        <v>18</v>
      </c>
      <c r="D153">
        <v>27</v>
      </c>
      <c r="E153">
        <v>160</v>
      </c>
      <c r="F153">
        <v>1752950</v>
      </c>
      <c r="G153" t="s">
        <v>324</v>
      </c>
      <c r="H153">
        <f t="shared" si="8"/>
        <v>1</v>
      </c>
      <c r="I153">
        <v>10</v>
      </c>
      <c r="J153">
        <v>1</v>
      </c>
      <c r="K153">
        <f t="shared" si="9"/>
        <v>0</v>
      </c>
      <c r="L153">
        <f t="shared" si="10"/>
        <v>1</v>
      </c>
      <c r="M153">
        <v>9</v>
      </c>
      <c r="N153">
        <v>62</v>
      </c>
      <c r="O153">
        <f t="shared" si="11"/>
        <v>0</v>
      </c>
      <c r="P153">
        <v>0.56899999999999995</v>
      </c>
    </row>
    <row r="154" spans="1:16" x14ac:dyDescent="0.2">
      <c r="A154" t="s">
        <v>325</v>
      </c>
      <c r="B154" t="s">
        <v>211</v>
      </c>
      <c r="C154" t="s">
        <v>18</v>
      </c>
      <c r="D154">
        <v>25</v>
      </c>
      <c r="E154">
        <v>79</v>
      </c>
      <c r="F154">
        <v>1663861</v>
      </c>
      <c r="G154" t="s">
        <v>326</v>
      </c>
      <c r="H154">
        <f t="shared" si="8"/>
        <v>1</v>
      </c>
      <c r="I154">
        <v>11</v>
      </c>
      <c r="J154">
        <v>1.7142857142857142</v>
      </c>
      <c r="K154">
        <f t="shared" si="9"/>
        <v>0</v>
      </c>
      <c r="L154">
        <f t="shared" si="10"/>
        <v>1</v>
      </c>
      <c r="M154">
        <v>5</v>
      </c>
      <c r="N154">
        <v>49</v>
      </c>
      <c r="O154">
        <f t="shared" si="11"/>
        <v>0</v>
      </c>
      <c r="P154">
        <v>0.48499999999999999</v>
      </c>
    </row>
    <row r="155" spans="1:16" x14ac:dyDescent="0.2">
      <c r="A155" t="s">
        <v>327</v>
      </c>
      <c r="B155" t="s">
        <v>211</v>
      </c>
      <c r="C155" t="s">
        <v>18</v>
      </c>
      <c r="D155">
        <v>21</v>
      </c>
      <c r="E155">
        <v>344</v>
      </c>
      <c r="F155">
        <v>1663361</v>
      </c>
      <c r="G155" t="s">
        <v>328</v>
      </c>
      <c r="H155">
        <f t="shared" si="8"/>
        <v>1</v>
      </c>
      <c r="I155">
        <v>64</v>
      </c>
      <c r="J155">
        <v>1.4339622641509433</v>
      </c>
      <c r="K155">
        <f t="shared" si="9"/>
        <v>0</v>
      </c>
      <c r="L155">
        <f t="shared" si="10"/>
        <v>1</v>
      </c>
      <c r="M155">
        <v>46</v>
      </c>
      <c r="N155">
        <v>368</v>
      </c>
      <c r="O155">
        <f t="shared" si="11"/>
        <v>0</v>
      </c>
      <c r="P155">
        <v>0.60799999999999998</v>
      </c>
    </row>
    <row r="156" spans="1:16" x14ac:dyDescent="0.2">
      <c r="A156" t="s">
        <v>329</v>
      </c>
      <c r="B156" t="s">
        <v>211</v>
      </c>
      <c r="C156" t="s">
        <v>18</v>
      </c>
      <c r="D156">
        <v>35</v>
      </c>
      <c r="E156">
        <v>6</v>
      </c>
      <c r="F156">
        <v>1620564</v>
      </c>
      <c r="G156" t="s">
        <v>330</v>
      </c>
      <c r="H156">
        <f t="shared" si="8"/>
        <v>1</v>
      </c>
      <c r="I156">
        <v>1</v>
      </c>
      <c r="J156">
        <v>2.5</v>
      </c>
      <c r="K156">
        <f t="shared" si="9"/>
        <v>0</v>
      </c>
      <c r="L156">
        <f t="shared" si="10"/>
        <v>1</v>
      </c>
      <c r="M156">
        <v>1</v>
      </c>
      <c r="N156">
        <v>21</v>
      </c>
      <c r="O156">
        <f t="shared" si="11"/>
        <v>0</v>
      </c>
      <c r="P156">
        <v>0.33300000000000002</v>
      </c>
    </row>
    <row r="157" spans="1:16" x14ac:dyDescent="0.2">
      <c r="A157" t="s">
        <v>331</v>
      </c>
      <c r="B157" t="s">
        <v>211</v>
      </c>
      <c r="C157" t="s">
        <v>18</v>
      </c>
      <c r="D157">
        <v>27</v>
      </c>
      <c r="E157">
        <v>121</v>
      </c>
      <c r="F157">
        <v>1620564</v>
      </c>
      <c r="G157" t="s">
        <v>332</v>
      </c>
      <c r="H157">
        <f t="shared" si="8"/>
        <v>1</v>
      </c>
      <c r="I157">
        <v>4</v>
      </c>
      <c r="J157">
        <v>1.8181818181818181</v>
      </c>
      <c r="K157">
        <f t="shared" si="9"/>
        <v>0</v>
      </c>
      <c r="L157">
        <f t="shared" si="10"/>
        <v>1</v>
      </c>
      <c r="M157">
        <v>3</v>
      </c>
      <c r="N157">
        <v>45</v>
      </c>
      <c r="O157">
        <f t="shared" si="11"/>
        <v>0</v>
      </c>
      <c r="P157">
        <v>0.505</v>
      </c>
    </row>
    <row r="158" spans="1:16" x14ac:dyDescent="0.2">
      <c r="A158" t="s">
        <v>333</v>
      </c>
      <c r="B158" t="s">
        <v>211</v>
      </c>
      <c r="C158" t="s">
        <v>18</v>
      </c>
      <c r="D158">
        <v>23</v>
      </c>
      <c r="E158">
        <v>72</v>
      </c>
      <c r="F158">
        <v>1620564</v>
      </c>
      <c r="G158" t="s">
        <v>334</v>
      </c>
      <c r="H158">
        <f t="shared" si="8"/>
        <v>1</v>
      </c>
      <c r="I158">
        <v>9</v>
      </c>
      <c r="J158">
        <v>0.73333333333333328</v>
      </c>
      <c r="K158">
        <f t="shared" si="9"/>
        <v>0</v>
      </c>
      <c r="L158">
        <f t="shared" si="10"/>
        <v>1</v>
      </c>
      <c r="M158">
        <v>8</v>
      </c>
      <c r="N158">
        <v>54</v>
      </c>
      <c r="O158">
        <f t="shared" si="11"/>
        <v>0</v>
      </c>
      <c r="P158">
        <v>0.50800000000000001</v>
      </c>
    </row>
    <row r="159" spans="1:16" x14ac:dyDescent="0.2">
      <c r="A159" t="s">
        <v>335</v>
      </c>
      <c r="B159" t="s">
        <v>211</v>
      </c>
      <c r="C159" t="s">
        <v>18</v>
      </c>
      <c r="D159">
        <v>32</v>
      </c>
      <c r="E159">
        <v>540</v>
      </c>
      <c r="F159">
        <v>1620564</v>
      </c>
      <c r="G159" t="s">
        <v>336</v>
      </c>
      <c r="H159">
        <f t="shared" si="8"/>
        <v>1</v>
      </c>
      <c r="I159">
        <v>69</v>
      </c>
      <c r="J159">
        <v>2.7924528301886791</v>
      </c>
      <c r="K159">
        <f t="shared" si="9"/>
        <v>0</v>
      </c>
      <c r="L159">
        <f t="shared" si="10"/>
        <v>1</v>
      </c>
      <c r="M159">
        <v>37</v>
      </c>
      <c r="N159">
        <v>316</v>
      </c>
      <c r="O159">
        <f t="shared" si="11"/>
        <v>0</v>
      </c>
      <c r="P159">
        <v>0.59699999999999998</v>
      </c>
    </row>
    <row r="160" spans="1:16" x14ac:dyDescent="0.2">
      <c r="A160" t="s">
        <v>337</v>
      </c>
      <c r="B160" t="s">
        <v>211</v>
      </c>
      <c r="C160" t="s">
        <v>18</v>
      </c>
      <c r="D160">
        <v>31</v>
      </c>
      <c r="E160">
        <v>407</v>
      </c>
      <c r="F160">
        <v>1620564</v>
      </c>
      <c r="G160" t="s">
        <v>338</v>
      </c>
      <c r="H160">
        <f t="shared" si="8"/>
        <v>1</v>
      </c>
      <c r="I160">
        <v>22</v>
      </c>
      <c r="J160">
        <v>1.3518518518518519</v>
      </c>
      <c r="K160">
        <f t="shared" si="9"/>
        <v>0</v>
      </c>
      <c r="L160">
        <f t="shared" si="10"/>
        <v>1</v>
      </c>
      <c r="M160">
        <v>19</v>
      </c>
      <c r="N160">
        <v>266</v>
      </c>
      <c r="O160">
        <f t="shared" si="11"/>
        <v>0</v>
      </c>
      <c r="P160">
        <v>0.49099999999999999</v>
      </c>
    </row>
    <row r="161" spans="1:16" x14ac:dyDescent="0.2">
      <c r="A161" t="s">
        <v>339</v>
      </c>
      <c r="B161" t="s">
        <v>211</v>
      </c>
      <c r="C161" t="s">
        <v>18</v>
      </c>
      <c r="D161">
        <v>36</v>
      </c>
      <c r="E161">
        <v>924</v>
      </c>
      <c r="F161">
        <v>1620564</v>
      </c>
      <c r="G161" t="s">
        <v>340</v>
      </c>
      <c r="H161">
        <f t="shared" si="8"/>
        <v>1</v>
      </c>
      <c r="I161">
        <v>46</v>
      </c>
      <c r="J161">
        <v>1.7049180327868851</v>
      </c>
      <c r="K161">
        <f t="shared" si="9"/>
        <v>0</v>
      </c>
      <c r="L161">
        <f t="shared" si="10"/>
        <v>1</v>
      </c>
      <c r="M161">
        <v>38</v>
      </c>
      <c r="N161">
        <v>214</v>
      </c>
      <c r="O161">
        <f t="shared" si="11"/>
        <v>0</v>
      </c>
      <c r="P161">
        <v>0.50600000000000001</v>
      </c>
    </row>
    <row r="162" spans="1:16" x14ac:dyDescent="0.2">
      <c r="A162" t="s">
        <v>341</v>
      </c>
      <c r="B162" t="s">
        <v>211</v>
      </c>
      <c r="C162" t="s">
        <v>18</v>
      </c>
      <c r="D162">
        <v>31</v>
      </c>
      <c r="E162">
        <v>481</v>
      </c>
      <c r="F162">
        <v>1620564</v>
      </c>
      <c r="G162" t="s">
        <v>342</v>
      </c>
      <c r="H162">
        <f t="shared" si="8"/>
        <v>1</v>
      </c>
      <c r="I162">
        <v>69</v>
      </c>
      <c r="J162">
        <v>1.3170731707317074</v>
      </c>
      <c r="K162">
        <f t="shared" si="9"/>
        <v>0</v>
      </c>
      <c r="L162">
        <f t="shared" si="10"/>
        <v>1</v>
      </c>
      <c r="M162">
        <v>33</v>
      </c>
      <c r="N162">
        <v>229</v>
      </c>
      <c r="O162">
        <f t="shared" si="11"/>
        <v>0</v>
      </c>
      <c r="P162">
        <v>0.54500000000000004</v>
      </c>
    </row>
    <row r="163" spans="1:16" x14ac:dyDescent="0.2">
      <c r="A163" t="s">
        <v>343</v>
      </c>
      <c r="B163" t="s">
        <v>211</v>
      </c>
      <c r="C163" t="s">
        <v>18</v>
      </c>
      <c r="D163">
        <v>23</v>
      </c>
      <c r="E163">
        <v>35</v>
      </c>
      <c r="F163">
        <v>1517981</v>
      </c>
      <c r="G163" t="s">
        <v>344</v>
      </c>
      <c r="H163">
        <f t="shared" si="8"/>
        <v>1</v>
      </c>
      <c r="I163">
        <v>4</v>
      </c>
      <c r="J163">
        <v>2.25</v>
      </c>
      <c r="K163">
        <f t="shared" si="9"/>
        <v>0</v>
      </c>
      <c r="L163">
        <f t="shared" si="10"/>
        <v>1</v>
      </c>
      <c r="M163">
        <v>1</v>
      </c>
      <c r="N163">
        <v>28</v>
      </c>
      <c r="O163">
        <f t="shared" si="11"/>
        <v>0</v>
      </c>
      <c r="P163">
        <v>0.53300000000000003</v>
      </c>
    </row>
    <row r="164" spans="1:16" x14ac:dyDescent="0.2">
      <c r="A164" t="s">
        <v>345</v>
      </c>
      <c r="B164" t="s">
        <v>211</v>
      </c>
      <c r="C164" t="s">
        <v>18</v>
      </c>
      <c r="D164">
        <v>20</v>
      </c>
      <c r="E164">
        <v>28</v>
      </c>
      <c r="F164">
        <v>1517981</v>
      </c>
      <c r="G164" t="s">
        <v>346</v>
      </c>
      <c r="H164">
        <f t="shared" si="8"/>
        <v>1</v>
      </c>
      <c r="I164">
        <v>3</v>
      </c>
      <c r="J164">
        <v>0.8</v>
      </c>
      <c r="K164">
        <f t="shared" si="9"/>
        <v>0</v>
      </c>
      <c r="L164">
        <f t="shared" si="10"/>
        <v>1</v>
      </c>
      <c r="M164">
        <v>5</v>
      </c>
      <c r="N164">
        <v>16</v>
      </c>
      <c r="O164">
        <f t="shared" si="11"/>
        <v>0</v>
      </c>
      <c r="P164">
        <v>0.48099999999999998</v>
      </c>
    </row>
    <row r="165" spans="1:16" x14ac:dyDescent="0.2">
      <c r="A165" t="s">
        <v>347</v>
      </c>
      <c r="B165" t="s">
        <v>211</v>
      </c>
      <c r="C165" t="s">
        <v>18</v>
      </c>
      <c r="D165">
        <v>23</v>
      </c>
      <c r="E165">
        <v>85</v>
      </c>
      <c r="F165">
        <v>1517981</v>
      </c>
      <c r="G165" t="s">
        <v>348</v>
      </c>
      <c r="H165">
        <f t="shared" si="8"/>
        <v>1</v>
      </c>
      <c r="I165">
        <v>11</v>
      </c>
      <c r="J165">
        <v>1</v>
      </c>
      <c r="K165">
        <f t="shared" si="9"/>
        <v>0</v>
      </c>
      <c r="L165">
        <f t="shared" si="10"/>
        <v>1</v>
      </c>
      <c r="M165">
        <v>2</v>
      </c>
      <c r="N165">
        <v>50</v>
      </c>
      <c r="O165">
        <f t="shared" si="11"/>
        <v>0</v>
      </c>
      <c r="P165">
        <v>0.52100000000000002</v>
      </c>
    </row>
    <row r="166" spans="1:16" x14ac:dyDescent="0.2">
      <c r="A166" t="s">
        <v>349</v>
      </c>
      <c r="B166" t="s">
        <v>211</v>
      </c>
      <c r="C166" t="s">
        <v>18</v>
      </c>
      <c r="D166">
        <v>24</v>
      </c>
      <c r="E166">
        <v>139</v>
      </c>
      <c r="F166">
        <v>1517981</v>
      </c>
      <c r="G166" t="s">
        <v>350</v>
      </c>
      <c r="H166">
        <f t="shared" si="8"/>
        <v>1</v>
      </c>
      <c r="I166">
        <v>8</v>
      </c>
      <c r="J166">
        <v>1.4666666666666666</v>
      </c>
      <c r="K166">
        <f t="shared" si="9"/>
        <v>0</v>
      </c>
      <c r="L166">
        <f t="shared" si="10"/>
        <v>1</v>
      </c>
      <c r="M166">
        <v>3</v>
      </c>
      <c r="N166">
        <v>30</v>
      </c>
      <c r="O166">
        <f t="shared" si="11"/>
        <v>0</v>
      </c>
      <c r="P166">
        <v>0.53200000000000003</v>
      </c>
    </row>
    <row r="167" spans="1:16" x14ac:dyDescent="0.2">
      <c r="A167" t="s">
        <v>351</v>
      </c>
      <c r="B167" t="s">
        <v>211</v>
      </c>
      <c r="C167" t="s">
        <v>18</v>
      </c>
      <c r="D167">
        <v>24</v>
      </c>
      <c r="E167">
        <v>381</v>
      </c>
      <c r="F167">
        <v>1517981</v>
      </c>
      <c r="G167" t="s">
        <v>352</v>
      </c>
      <c r="H167">
        <f t="shared" si="8"/>
        <v>1</v>
      </c>
      <c r="I167">
        <v>12</v>
      </c>
      <c r="J167">
        <v>1.1860465116279071</v>
      </c>
      <c r="K167">
        <f t="shared" si="9"/>
        <v>0</v>
      </c>
      <c r="L167">
        <f t="shared" si="10"/>
        <v>1</v>
      </c>
      <c r="M167">
        <v>7</v>
      </c>
      <c r="N167">
        <v>128</v>
      </c>
      <c r="O167">
        <f t="shared" si="11"/>
        <v>0</v>
      </c>
      <c r="P167">
        <v>0.52700000000000002</v>
      </c>
    </row>
    <row r="168" spans="1:16" x14ac:dyDescent="0.2">
      <c r="A168" t="s">
        <v>353</v>
      </c>
      <c r="B168" t="s">
        <v>211</v>
      </c>
      <c r="C168" t="s">
        <v>18</v>
      </c>
      <c r="D168">
        <v>22</v>
      </c>
      <c r="E168">
        <v>533</v>
      </c>
      <c r="F168">
        <v>1517981</v>
      </c>
      <c r="G168" t="s">
        <v>354</v>
      </c>
      <c r="H168">
        <f t="shared" si="8"/>
        <v>1</v>
      </c>
      <c r="I168">
        <v>52</v>
      </c>
      <c r="J168">
        <v>0.94690265486725667</v>
      </c>
      <c r="K168">
        <f t="shared" si="9"/>
        <v>0</v>
      </c>
      <c r="L168">
        <f t="shared" si="10"/>
        <v>1</v>
      </c>
      <c r="M168">
        <v>37</v>
      </c>
      <c r="N168">
        <v>341</v>
      </c>
      <c r="O168">
        <f t="shared" si="11"/>
        <v>0</v>
      </c>
      <c r="P168">
        <v>0.52</v>
      </c>
    </row>
    <row r="169" spans="1:16" x14ac:dyDescent="0.2">
      <c r="A169" t="s">
        <v>355</v>
      </c>
      <c r="B169" t="s">
        <v>211</v>
      </c>
      <c r="C169" t="s">
        <v>18</v>
      </c>
      <c r="D169">
        <v>21</v>
      </c>
      <c r="E169">
        <v>20</v>
      </c>
      <c r="F169">
        <v>1500000</v>
      </c>
      <c r="G169" t="s">
        <v>356</v>
      </c>
      <c r="H169">
        <f t="shared" si="8"/>
        <v>1</v>
      </c>
      <c r="I169">
        <v>0</v>
      </c>
      <c r="J169">
        <v>2</v>
      </c>
      <c r="K169">
        <f t="shared" si="9"/>
        <v>0</v>
      </c>
      <c r="L169">
        <f t="shared" si="10"/>
        <v>1</v>
      </c>
      <c r="M169">
        <v>3</v>
      </c>
      <c r="N169">
        <v>16</v>
      </c>
      <c r="O169">
        <f t="shared" si="11"/>
        <v>0</v>
      </c>
      <c r="P169">
        <v>0.42499999999999999</v>
      </c>
    </row>
    <row r="170" spans="1:16" x14ac:dyDescent="0.2">
      <c r="A170" t="s">
        <v>357</v>
      </c>
      <c r="B170" t="s">
        <v>211</v>
      </c>
      <c r="C170" t="s">
        <v>18</v>
      </c>
      <c r="D170">
        <v>25</v>
      </c>
      <c r="E170">
        <v>794</v>
      </c>
      <c r="F170">
        <v>1445697</v>
      </c>
      <c r="G170" t="s">
        <v>358</v>
      </c>
      <c r="H170">
        <f t="shared" si="8"/>
        <v>1</v>
      </c>
      <c r="I170">
        <v>85</v>
      </c>
      <c r="J170">
        <v>1.8163265306122449</v>
      </c>
      <c r="K170">
        <f t="shared" si="9"/>
        <v>0</v>
      </c>
      <c r="L170">
        <f t="shared" si="10"/>
        <v>1</v>
      </c>
      <c r="M170">
        <v>36</v>
      </c>
      <c r="N170">
        <v>374</v>
      </c>
      <c r="O170">
        <f t="shared" si="11"/>
        <v>0</v>
      </c>
      <c r="P170">
        <v>0.55400000000000005</v>
      </c>
    </row>
    <row r="171" spans="1:16" x14ac:dyDescent="0.2">
      <c r="A171" t="s">
        <v>359</v>
      </c>
      <c r="B171" t="s">
        <v>211</v>
      </c>
      <c r="C171" t="s">
        <v>18</v>
      </c>
      <c r="D171">
        <v>30</v>
      </c>
      <c r="E171">
        <v>15</v>
      </c>
      <c r="F171">
        <v>1349383</v>
      </c>
      <c r="G171" t="s">
        <v>360</v>
      </c>
      <c r="H171">
        <f t="shared" si="8"/>
        <v>1</v>
      </c>
      <c r="I171">
        <v>0</v>
      </c>
      <c r="J171">
        <v>1.5</v>
      </c>
      <c r="K171">
        <f t="shared" si="9"/>
        <v>0</v>
      </c>
      <c r="L171">
        <f t="shared" si="10"/>
        <v>1</v>
      </c>
      <c r="M171">
        <v>0</v>
      </c>
      <c r="N171">
        <v>9</v>
      </c>
      <c r="O171">
        <f t="shared" si="11"/>
        <v>0</v>
      </c>
      <c r="P171">
        <v>0.53800000000000003</v>
      </c>
    </row>
    <row r="172" spans="1:16" x14ac:dyDescent="0.2">
      <c r="A172" t="s">
        <v>361</v>
      </c>
      <c r="B172" t="s">
        <v>211</v>
      </c>
      <c r="C172" t="s">
        <v>18</v>
      </c>
      <c r="D172">
        <v>22</v>
      </c>
      <c r="E172">
        <v>390</v>
      </c>
      <c r="F172">
        <v>1300000</v>
      </c>
      <c r="G172" t="s">
        <v>362</v>
      </c>
      <c r="H172">
        <f t="shared" si="8"/>
        <v>1</v>
      </c>
      <c r="I172">
        <v>44</v>
      </c>
      <c r="J172">
        <v>1.6666666666666667</v>
      </c>
      <c r="K172">
        <f t="shared" si="9"/>
        <v>0</v>
      </c>
      <c r="L172">
        <f t="shared" si="10"/>
        <v>1</v>
      </c>
      <c r="M172">
        <v>33</v>
      </c>
      <c r="N172">
        <v>256</v>
      </c>
      <c r="O172">
        <f t="shared" si="11"/>
        <v>0</v>
      </c>
      <c r="P172">
        <v>0.59499999999999997</v>
      </c>
    </row>
    <row r="173" spans="1:16" x14ac:dyDescent="0.2">
      <c r="A173" t="s">
        <v>363</v>
      </c>
      <c r="B173" t="s">
        <v>211</v>
      </c>
      <c r="C173" t="s">
        <v>18</v>
      </c>
      <c r="D173">
        <v>35</v>
      </c>
      <c r="E173">
        <v>502</v>
      </c>
      <c r="F173">
        <v>1000000</v>
      </c>
      <c r="G173" t="s">
        <v>364</v>
      </c>
      <c r="H173">
        <f t="shared" si="8"/>
        <v>1</v>
      </c>
      <c r="I173">
        <v>51</v>
      </c>
      <c r="J173">
        <v>1.9215686274509804</v>
      </c>
      <c r="K173">
        <f t="shared" si="9"/>
        <v>0</v>
      </c>
      <c r="L173">
        <f t="shared" si="10"/>
        <v>1</v>
      </c>
      <c r="M173">
        <v>36</v>
      </c>
      <c r="N173">
        <v>262</v>
      </c>
      <c r="O173">
        <f t="shared" si="11"/>
        <v>0</v>
      </c>
      <c r="P173">
        <v>0.53700000000000003</v>
      </c>
    </row>
    <row r="174" spans="1:16" x14ac:dyDescent="0.2">
      <c r="A174" t="s">
        <v>365</v>
      </c>
      <c r="B174" t="s">
        <v>211</v>
      </c>
      <c r="C174" t="s">
        <v>18</v>
      </c>
      <c r="D174">
        <v>20</v>
      </c>
      <c r="E174">
        <v>68</v>
      </c>
      <c r="F174">
        <v>898310</v>
      </c>
      <c r="G174" t="s">
        <v>366</v>
      </c>
      <c r="H174">
        <f t="shared" si="8"/>
        <v>1</v>
      </c>
      <c r="I174">
        <v>6</v>
      </c>
      <c r="J174">
        <v>2</v>
      </c>
      <c r="K174">
        <f t="shared" si="9"/>
        <v>0</v>
      </c>
      <c r="L174">
        <f t="shared" si="10"/>
        <v>1</v>
      </c>
      <c r="M174">
        <v>3</v>
      </c>
      <c r="N174">
        <v>32</v>
      </c>
      <c r="O174">
        <f t="shared" si="11"/>
        <v>0</v>
      </c>
      <c r="P174">
        <v>0.432</v>
      </c>
    </row>
    <row r="175" spans="1:16" x14ac:dyDescent="0.2">
      <c r="A175" t="s">
        <v>367</v>
      </c>
      <c r="B175" t="s">
        <v>211</v>
      </c>
      <c r="C175" t="s">
        <v>18</v>
      </c>
      <c r="D175">
        <v>22</v>
      </c>
      <c r="E175">
        <v>31</v>
      </c>
      <c r="F175">
        <v>898310</v>
      </c>
      <c r="G175" t="s">
        <v>368</v>
      </c>
      <c r="H175">
        <f t="shared" si="8"/>
        <v>1</v>
      </c>
      <c r="I175">
        <v>1</v>
      </c>
      <c r="J175">
        <v>1</v>
      </c>
      <c r="K175">
        <f t="shared" si="9"/>
        <v>0</v>
      </c>
      <c r="L175">
        <f t="shared" si="10"/>
        <v>1</v>
      </c>
      <c r="M175">
        <v>1</v>
      </c>
      <c r="N175">
        <v>9</v>
      </c>
      <c r="O175">
        <f t="shared" si="11"/>
        <v>0</v>
      </c>
      <c r="P175">
        <v>0.46700000000000003</v>
      </c>
    </row>
    <row r="176" spans="1:16" x14ac:dyDescent="0.2">
      <c r="A176" t="s">
        <v>369</v>
      </c>
      <c r="B176" t="s">
        <v>211</v>
      </c>
      <c r="C176" t="s">
        <v>18</v>
      </c>
      <c r="D176">
        <v>20</v>
      </c>
      <c r="E176">
        <v>419</v>
      </c>
      <c r="F176">
        <v>898310</v>
      </c>
      <c r="G176" t="s">
        <v>370</v>
      </c>
      <c r="H176">
        <f t="shared" si="8"/>
        <v>1</v>
      </c>
      <c r="I176">
        <v>30</v>
      </c>
      <c r="J176">
        <v>1.263157894736842</v>
      </c>
      <c r="K176">
        <f t="shared" si="9"/>
        <v>0</v>
      </c>
      <c r="L176">
        <f t="shared" si="10"/>
        <v>1</v>
      </c>
      <c r="M176">
        <v>41</v>
      </c>
      <c r="N176">
        <v>242</v>
      </c>
      <c r="O176">
        <f t="shared" si="11"/>
        <v>0</v>
      </c>
      <c r="P176">
        <v>0.56399999999999995</v>
      </c>
    </row>
    <row r="177" spans="1:16" x14ac:dyDescent="0.2">
      <c r="A177" t="s">
        <v>371</v>
      </c>
      <c r="B177" t="s">
        <v>211</v>
      </c>
      <c r="C177" t="s">
        <v>18</v>
      </c>
      <c r="D177">
        <v>33</v>
      </c>
      <c r="E177">
        <v>65</v>
      </c>
      <c r="F177">
        <v>754783</v>
      </c>
      <c r="G177" t="s">
        <v>372</v>
      </c>
      <c r="H177">
        <f t="shared" si="8"/>
        <v>1</v>
      </c>
      <c r="I177">
        <v>10</v>
      </c>
      <c r="J177">
        <v>0.5</v>
      </c>
      <c r="K177">
        <f t="shared" si="9"/>
        <v>0</v>
      </c>
      <c r="L177">
        <f t="shared" si="10"/>
        <v>1</v>
      </c>
      <c r="M177">
        <v>3</v>
      </c>
      <c r="N177">
        <v>29</v>
      </c>
      <c r="O177">
        <f t="shared" si="11"/>
        <v>0</v>
      </c>
      <c r="P177">
        <v>0.55600000000000005</v>
      </c>
    </row>
    <row r="178" spans="1:16" x14ac:dyDescent="0.2">
      <c r="A178" t="s">
        <v>373</v>
      </c>
      <c r="B178" t="s">
        <v>211</v>
      </c>
      <c r="C178" t="s">
        <v>18</v>
      </c>
      <c r="D178">
        <v>22</v>
      </c>
      <c r="E178">
        <v>18</v>
      </c>
      <c r="F178">
        <v>449155</v>
      </c>
      <c r="G178" t="s">
        <v>374</v>
      </c>
      <c r="H178">
        <f t="shared" si="8"/>
        <v>1</v>
      </c>
      <c r="I178">
        <v>0</v>
      </c>
      <c r="J178">
        <v>1</v>
      </c>
      <c r="K178">
        <f t="shared" si="9"/>
        <v>0</v>
      </c>
      <c r="L178">
        <f t="shared" si="10"/>
        <v>1</v>
      </c>
      <c r="M178">
        <v>1</v>
      </c>
      <c r="N178">
        <v>19</v>
      </c>
      <c r="O178">
        <f t="shared" si="11"/>
        <v>0</v>
      </c>
      <c r="P178">
        <v>0.34100000000000003</v>
      </c>
    </row>
    <row r="179" spans="1:16" x14ac:dyDescent="0.2">
      <c r="A179" t="s">
        <v>375</v>
      </c>
      <c r="B179" t="s">
        <v>211</v>
      </c>
      <c r="C179" t="s">
        <v>18</v>
      </c>
      <c r="D179">
        <v>24</v>
      </c>
      <c r="E179">
        <v>39</v>
      </c>
      <c r="F179">
        <v>449155</v>
      </c>
      <c r="G179" t="s">
        <v>376</v>
      </c>
      <c r="H179">
        <f t="shared" si="8"/>
        <v>1</v>
      </c>
      <c r="I179">
        <v>2</v>
      </c>
      <c r="J179">
        <v>1</v>
      </c>
      <c r="K179">
        <f t="shared" si="9"/>
        <v>0</v>
      </c>
      <c r="L179">
        <f t="shared" si="10"/>
        <v>1</v>
      </c>
      <c r="M179">
        <v>3</v>
      </c>
      <c r="N179">
        <v>19</v>
      </c>
      <c r="O179">
        <f t="shared" si="11"/>
        <v>0</v>
      </c>
      <c r="P179">
        <v>0.47</v>
      </c>
    </row>
    <row r="180" spans="1:16" x14ac:dyDescent="0.2">
      <c r="A180" t="s">
        <v>377</v>
      </c>
      <c r="B180" t="s">
        <v>211</v>
      </c>
      <c r="C180" t="s">
        <v>18</v>
      </c>
      <c r="D180">
        <v>21</v>
      </c>
      <c r="E180">
        <v>44</v>
      </c>
      <c r="F180">
        <v>449155</v>
      </c>
      <c r="G180" t="s">
        <v>378</v>
      </c>
      <c r="H180">
        <f t="shared" si="8"/>
        <v>1</v>
      </c>
      <c r="I180">
        <v>7</v>
      </c>
      <c r="J180">
        <v>2.25</v>
      </c>
      <c r="K180">
        <f t="shared" si="9"/>
        <v>0</v>
      </c>
      <c r="L180">
        <f t="shared" si="10"/>
        <v>1</v>
      </c>
      <c r="M180">
        <v>3</v>
      </c>
      <c r="N180">
        <v>18</v>
      </c>
      <c r="O180">
        <f t="shared" si="11"/>
        <v>0</v>
      </c>
      <c r="P180">
        <v>0.55900000000000005</v>
      </c>
    </row>
    <row r="181" spans="1:16" x14ac:dyDescent="0.2">
      <c r="A181" t="s">
        <v>379</v>
      </c>
      <c r="B181" t="s">
        <v>211</v>
      </c>
      <c r="C181" t="s">
        <v>18</v>
      </c>
      <c r="D181">
        <v>25</v>
      </c>
      <c r="E181">
        <v>12</v>
      </c>
      <c r="F181">
        <v>449155</v>
      </c>
      <c r="G181" t="s">
        <v>380</v>
      </c>
      <c r="H181">
        <f t="shared" si="8"/>
        <v>1</v>
      </c>
      <c r="I181">
        <v>2</v>
      </c>
      <c r="J181">
        <v>0.8</v>
      </c>
      <c r="K181">
        <f t="shared" si="9"/>
        <v>0</v>
      </c>
      <c r="L181">
        <f t="shared" si="10"/>
        <v>1</v>
      </c>
      <c r="M181">
        <v>0</v>
      </c>
      <c r="N181">
        <v>10</v>
      </c>
      <c r="O181">
        <f t="shared" si="11"/>
        <v>0</v>
      </c>
      <c r="P181">
        <v>0.3</v>
      </c>
    </row>
    <row r="182" spans="1:16" x14ac:dyDescent="0.2">
      <c r="A182" t="s">
        <v>381</v>
      </c>
      <c r="B182" t="s">
        <v>211</v>
      </c>
      <c r="C182" t="s">
        <v>18</v>
      </c>
      <c r="D182">
        <v>24</v>
      </c>
      <c r="E182">
        <v>39</v>
      </c>
      <c r="F182">
        <v>449155</v>
      </c>
      <c r="G182" t="s">
        <v>382</v>
      </c>
      <c r="H182">
        <f t="shared" si="8"/>
        <v>1</v>
      </c>
      <c r="I182">
        <v>5</v>
      </c>
      <c r="J182">
        <v>0.2</v>
      </c>
      <c r="K182">
        <f t="shared" si="9"/>
        <v>0</v>
      </c>
      <c r="L182">
        <f t="shared" si="10"/>
        <v>1</v>
      </c>
      <c r="M182">
        <v>4</v>
      </c>
      <c r="N182">
        <v>32</v>
      </c>
      <c r="O182">
        <f t="shared" si="11"/>
        <v>0</v>
      </c>
      <c r="P182">
        <v>0.58599999999999997</v>
      </c>
    </row>
    <row r="183" spans="1:16" x14ac:dyDescent="0.2">
      <c r="A183" t="s">
        <v>383</v>
      </c>
      <c r="B183" t="s">
        <v>211</v>
      </c>
      <c r="C183" t="s">
        <v>18</v>
      </c>
      <c r="D183">
        <v>24</v>
      </c>
      <c r="E183">
        <v>64</v>
      </c>
      <c r="F183">
        <v>449155</v>
      </c>
      <c r="G183" t="s">
        <v>384</v>
      </c>
      <c r="H183">
        <f t="shared" si="8"/>
        <v>1</v>
      </c>
      <c r="I183">
        <v>7</v>
      </c>
      <c r="J183">
        <v>1.875</v>
      </c>
      <c r="K183">
        <f t="shared" si="9"/>
        <v>0</v>
      </c>
      <c r="L183">
        <f t="shared" si="10"/>
        <v>1</v>
      </c>
      <c r="M183">
        <v>2</v>
      </c>
      <c r="N183">
        <v>27</v>
      </c>
      <c r="O183">
        <f t="shared" si="11"/>
        <v>0</v>
      </c>
      <c r="P183">
        <v>0.59599999999999997</v>
      </c>
    </row>
    <row r="184" spans="1:16" x14ac:dyDescent="0.2">
      <c r="A184" t="s">
        <v>385</v>
      </c>
      <c r="B184" t="s">
        <v>211</v>
      </c>
      <c r="C184" t="s">
        <v>18</v>
      </c>
      <c r="D184">
        <v>23</v>
      </c>
      <c r="E184">
        <v>12</v>
      </c>
      <c r="F184">
        <v>449155</v>
      </c>
      <c r="G184" t="s">
        <v>386</v>
      </c>
      <c r="H184">
        <f t="shared" si="8"/>
        <v>1</v>
      </c>
      <c r="I184">
        <v>2</v>
      </c>
      <c r="J184">
        <v>9.0909090909090912E-2</v>
      </c>
      <c r="K184">
        <f t="shared" si="9"/>
        <v>0</v>
      </c>
      <c r="L184">
        <f t="shared" si="10"/>
        <v>1</v>
      </c>
      <c r="M184">
        <v>4</v>
      </c>
      <c r="N184">
        <v>19</v>
      </c>
      <c r="O184">
        <f t="shared" si="11"/>
        <v>0</v>
      </c>
      <c r="P184">
        <v>0.3</v>
      </c>
    </row>
    <row r="185" spans="1:16" x14ac:dyDescent="0.2">
      <c r="A185" t="s">
        <v>387</v>
      </c>
      <c r="B185" t="s">
        <v>211</v>
      </c>
      <c r="C185" t="s">
        <v>18</v>
      </c>
      <c r="D185">
        <v>21</v>
      </c>
      <c r="E185">
        <v>116</v>
      </c>
      <c r="F185">
        <v>449155</v>
      </c>
      <c r="G185" t="s">
        <v>388</v>
      </c>
      <c r="H185">
        <f t="shared" si="8"/>
        <v>1</v>
      </c>
      <c r="I185">
        <v>13</v>
      </c>
      <c r="J185">
        <v>1.411764705882353</v>
      </c>
      <c r="K185">
        <f t="shared" si="9"/>
        <v>0</v>
      </c>
      <c r="L185">
        <f t="shared" si="10"/>
        <v>1</v>
      </c>
      <c r="M185">
        <v>5</v>
      </c>
      <c r="N185">
        <v>65</v>
      </c>
      <c r="O185">
        <f t="shared" si="11"/>
        <v>0</v>
      </c>
      <c r="P185">
        <v>0.5</v>
      </c>
    </row>
    <row r="186" spans="1:16" x14ac:dyDescent="0.2">
      <c r="A186" t="s">
        <v>389</v>
      </c>
      <c r="B186" t="s">
        <v>211</v>
      </c>
      <c r="C186" t="s">
        <v>18</v>
      </c>
      <c r="D186">
        <v>23</v>
      </c>
      <c r="E186">
        <v>133</v>
      </c>
      <c r="F186">
        <v>449155</v>
      </c>
      <c r="G186" t="s">
        <v>390</v>
      </c>
      <c r="H186">
        <f t="shared" si="8"/>
        <v>1</v>
      </c>
      <c r="I186">
        <v>6</v>
      </c>
      <c r="J186">
        <v>1.2105263157894737</v>
      </c>
      <c r="K186">
        <f t="shared" si="9"/>
        <v>0</v>
      </c>
      <c r="L186">
        <f t="shared" si="10"/>
        <v>1</v>
      </c>
      <c r="M186">
        <v>5</v>
      </c>
      <c r="N186">
        <v>70</v>
      </c>
      <c r="O186">
        <f t="shared" si="11"/>
        <v>0</v>
      </c>
      <c r="P186">
        <v>0.48699999999999999</v>
      </c>
    </row>
    <row r="187" spans="1:16" x14ac:dyDescent="0.2">
      <c r="A187" t="s">
        <v>391</v>
      </c>
      <c r="B187" t="s">
        <v>211</v>
      </c>
      <c r="C187" t="s">
        <v>18</v>
      </c>
      <c r="D187">
        <v>20</v>
      </c>
      <c r="E187">
        <v>86</v>
      </c>
      <c r="F187">
        <v>449155</v>
      </c>
      <c r="G187" t="s">
        <v>392</v>
      </c>
      <c r="H187">
        <f t="shared" si="8"/>
        <v>1</v>
      </c>
      <c r="I187">
        <v>4</v>
      </c>
      <c r="J187">
        <v>1.1200000000000001</v>
      </c>
      <c r="K187">
        <f t="shared" si="9"/>
        <v>0</v>
      </c>
      <c r="L187">
        <f t="shared" si="10"/>
        <v>1</v>
      </c>
      <c r="M187">
        <v>1</v>
      </c>
      <c r="N187">
        <v>59</v>
      </c>
      <c r="O187">
        <f t="shared" si="11"/>
        <v>0</v>
      </c>
      <c r="P187">
        <v>0.32300000000000001</v>
      </c>
    </row>
    <row r="188" spans="1:16" x14ac:dyDescent="0.2">
      <c r="A188" t="s">
        <v>393</v>
      </c>
      <c r="B188" t="s">
        <v>211</v>
      </c>
      <c r="C188" t="s">
        <v>18</v>
      </c>
      <c r="D188">
        <v>23</v>
      </c>
      <c r="E188">
        <v>246</v>
      </c>
      <c r="F188">
        <v>120000</v>
      </c>
      <c r="G188" t="s">
        <v>394</v>
      </c>
      <c r="H188">
        <f t="shared" si="8"/>
        <v>1</v>
      </c>
      <c r="I188">
        <v>26</v>
      </c>
      <c r="J188">
        <v>2.3157894736842106</v>
      </c>
      <c r="K188">
        <f t="shared" si="9"/>
        <v>0</v>
      </c>
      <c r="L188">
        <f t="shared" si="10"/>
        <v>1</v>
      </c>
      <c r="M188">
        <v>10</v>
      </c>
      <c r="N188">
        <v>148</v>
      </c>
      <c r="O188">
        <f t="shared" si="11"/>
        <v>0</v>
      </c>
      <c r="P188">
        <v>0.46200000000000002</v>
      </c>
    </row>
    <row r="189" spans="1:16" x14ac:dyDescent="0.2">
      <c r="A189" t="s">
        <v>395</v>
      </c>
      <c r="B189" t="s">
        <v>211</v>
      </c>
      <c r="C189" t="s">
        <v>97</v>
      </c>
      <c r="D189">
        <v>27</v>
      </c>
      <c r="E189">
        <v>271</v>
      </c>
      <c r="F189">
        <v>28489237</v>
      </c>
      <c r="G189" t="s">
        <v>396</v>
      </c>
      <c r="H189">
        <f t="shared" si="8"/>
        <v>1</v>
      </c>
      <c r="I189">
        <v>16</v>
      </c>
      <c r="J189">
        <v>2.2000000000000002</v>
      </c>
      <c r="K189">
        <f t="shared" si="9"/>
        <v>0</v>
      </c>
      <c r="L189">
        <f t="shared" si="10"/>
        <v>0</v>
      </c>
      <c r="M189">
        <v>4</v>
      </c>
      <c r="N189">
        <v>152</v>
      </c>
      <c r="O189">
        <f t="shared" si="11"/>
        <v>0</v>
      </c>
      <c r="P189">
        <v>0.51800000000000002</v>
      </c>
    </row>
    <row r="190" spans="1:16" x14ac:dyDescent="0.2">
      <c r="A190" t="s">
        <v>397</v>
      </c>
      <c r="B190" t="s">
        <v>211</v>
      </c>
      <c r="C190" t="s">
        <v>97</v>
      </c>
      <c r="D190">
        <v>25</v>
      </c>
      <c r="E190">
        <v>618</v>
      </c>
      <c r="F190">
        <v>18136364</v>
      </c>
      <c r="G190" t="s">
        <v>398</v>
      </c>
      <c r="H190">
        <f t="shared" si="8"/>
        <v>1</v>
      </c>
      <c r="I190">
        <v>33</v>
      </c>
      <c r="J190">
        <v>1.6597938144329898</v>
      </c>
      <c r="K190">
        <f t="shared" si="9"/>
        <v>0</v>
      </c>
      <c r="L190">
        <f t="shared" si="10"/>
        <v>0</v>
      </c>
      <c r="M190">
        <v>34</v>
      </c>
      <c r="N190">
        <v>284</v>
      </c>
      <c r="O190">
        <f t="shared" si="11"/>
        <v>0</v>
      </c>
      <c r="P190">
        <v>0.52200000000000002</v>
      </c>
    </row>
    <row r="191" spans="1:16" x14ac:dyDescent="0.2">
      <c r="A191" t="s">
        <v>399</v>
      </c>
      <c r="B191" t="s">
        <v>211</v>
      </c>
      <c r="C191" t="s">
        <v>97</v>
      </c>
      <c r="D191">
        <v>28</v>
      </c>
      <c r="E191">
        <v>719</v>
      </c>
      <c r="F191">
        <v>17150000</v>
      </c>
      <c r="G191" t="s">
        <v>400</v>
      </c>
      <c r="H191">
        <f t="shared" si="8"/>
        <v>1</v>
      </c>
      <c r="I191">
        <v>47</v>
      </c>
      <c r="J191">
        <v>1.9726027397260273</v>
      </c>
      <c r="K191">
        <f t="shared" si="9"/>
        <v>0</v>
      </c>
      <c r="L191">
        <f t="shared" si="10"/>
        <v>0</v>
      </c>
      <c r="M191">
        <v>19</v>
      </c>
      <c r="N191">
        <v>128</v>
      </c>
      <c r="O191">
        <f t="shared" si="11"/>
        <v>0</v>
      </c>
      <c r="P191">
        <v>0.56499999999999995</v>
      </c>
    </row>
    <row r="192" spans="1:16" x14ac:dyDescent="0.2">
      <c r="A192" t="s">
        <v>401</v>
      </c>
      <c r="B192" t="s">
        <v>211</v>
      </c>
      <c r="C192" t="s">
        <v>97</v>
      </c>
      <c r="D192">
        <v>33</v>
      </c>
      <c r="E192">
        <v>368</v>
      </c>
      <c r="F192">
        <v>16047100</v>
      </c>
      <c r="G192" t="s">
        <v>402</v>
      </c>
      <c r="H192">
        <f t="shared" si="8"/>
        <v>1</v>
      </c>
      <c r="I192">
        <v>42</v>
      </c>
      <c r="J192">
        <v>1.7818181818181817</v>
      </c>
      <c r="K192">
        <f t="shared" si="9"/>
        <v>0</v>
      </c>
      <c r="L192">
        <f t="shared" si="10"/>
        <v>0</v>
      </c>
      <c r="M192">
        <v>42</v>
      </c>
      <c r="N192">
        <v>177</v>
      </c>
      <c r="O192">
        <f t="shared" si="11"/>
        <v>0</v>
      </c>
      <c r="P192">
        <v>0.49399999999999999</v>
      </c>
    </row>
    <row r="193" spans="1:16" x14ac:dyDescent="0.2">
      <c r="A193" t="s">
        <v>403</v>
      </c>
      <c r="B193" t="s">
        <v>211</v>
      </c>
      <c r="C193" t="s">
        <v>97</v>
      </c>
      <c r="D193">
        <v>29</v>
      </c>
      <c r="E193">
        <v>945</v>
      </c>
      <c r="F193">
        <v>12598243</v>
      </c>
      <c r="G193" t="s">
        <v>404</v>
      </c>
      <c r="H193">
        <f t="shared" si="8"/>
        <v>1</v>
      </c>
      <c r="I193">
        <v>79</v>
      </c>
      <c r="J193">
        <v>1.6111111111111112</v>
      </c>
      <c r="K193">
        <f t="shared" si="9"/>
        <v>0</v>
      </c>
      <c r="L193">
        <f t="shared" si="10"/>
        <v>0</v>
      </c>
      <c r="M193">
        <v>42</v>
      </c>
      <c r="N193">
        <v>489</v>
      </c>
      <c r="O193">
        <f t="shared" si="11"/>
        <v>0</v>
      </c>
      <c r="P193">
        <v>0.57399999999999995</v>
      </c>
    </row>
    <row r="194" spans="1:16" x14ac:dyDescent="0.2">
      <c r="A194" t="s">
        <v>405</v>
      </c>
      <c r="B194" t="s">
        <v>211</v>
      </c>
      <c r="C194" t="s">
        <v>97</v>
      </c>
      <c r="D194">
        <v>26</v>
      </c>
      <c r="E194">
        <v>389</v>
      </c>
      <c r="F194">
        <v>12250000</v>
      </c>
      <c r="G194" t="s">
        <v>406</v>
      </c>
      <c r="H194">
        <f t="shared" ref="H194:H257" si="12">IF(B194="Forward", 1, 0)</f>
        <v>1</v>
      </c>
      <c r="I194">
        <v>28</v>
      </c>
      <c r="J194">
        <v>1.6170212765957446</v>
      </c>
      <c r="K194">
        <f t="shared" ref="K194:K257" si="13">IF(C194="East", 1, 0)</f>
        <v>0</v>
      </c>
      <c r="L194">
        <f t="shared" ref="L194:L257" si="14">IF(C194="West", 1, 0)</f>
        <v>0</v>
      </c>
      <c r="M194">
        <v>23</v>
      </c>
      <c r="N194">
        <v>142</v>
      </c>
      <c r="O194">
        <f t="shared" ref="O194:O257" si="15">IF($B194="Guard", 1, 0)</f>
        <v>0</v>
      </c>
      <c r="P194">
        <v>0.495</v>
      </c>
    </row>
    <row r="195" spans="1:16" x14ac:dyDescent="0.2">
      <c r="A195" t="s">
        <v>407</v>
      </c>
      <c r="B195" t="s">
        <v>211</v>
      </c>
      <c r="C195" t="s">
        <v>97</v>
      </c>
      <c r="D195">
        <v>28</v>
      </c>
      <c r="E195">
        <v>246</v>
      </c>
      <c r="F195">
        <v>10047450</v>
      </c>
      <c r="G195" t="s">
        <v>408</v>
      </c>
      <c r="H195">
        <f t="shared" si="12"/>
        <v>1</v>
      </c>
      <c r="I195">
        <v>24</v>
      </c>
      <c r="J195">
        <v>1.4722222222222223</v>
      </c>
      <c r="K195">
        <f t="shared" si="13"/>
        <v>0</v>
      </c>
      <c r="L195">
        <f t="shared" si="14"/>
        <v>0</v>
      </c>
      <c r="M195">
        <v>7</v>
      </c>
      <c r="N195">
        <v>103</v>
      </c>
      <c r="O195">
        <f t="shared" si="15"/>
        <v>0</v>
      </c>
      <c r="P195">
        <v>0.42699999999999999</v>
      </c>
    </row>
    <row r="196" spans="1:16" x14ac:dyDescent="0.2">
      <c r="A196" t="s">
        <v>409</v>
      </c>
      <c r="B196" t="s">
        <v>211</v>
      </c>
      <c r="C196" t="s">
        <v>97</v>
      </c>
      <c r="D196">
        <v>30</v>
      </c>
      <c r="E196">
        <v>102</v>
      </c>
      <c r="F196">
        <v>9720900</v>
      </c>
      <c r="G196" t="s">
        <v>410</v>
      </c>
      <c r="H196">
        <f t="shared" si="12"/>
        <v>1</v>
      </c>
      <c r="I196">
        <v>19</v>
      </c>
      <c r="J196">
        <v>1.1071428571428572</v>
      </c>
      <c r="K196">
        <f t="shared" si="13"/>
        <v>0</v>
      </c>
      <c r="L196">
        <f t="shared" si="14"/>
        <v>0</v>
      </c>
      <c r="M196">
        <v>9</v>
      </c>
      <c r="N196">
        <v>110</v>
      </c>
      <c r="O196">
        <f t="shared" si="15"/>
        <v>0</v>
      </c>
      <c r="P196">
        <v>0.42399999999999999</v>
      </c>
    </row>
    <row r="197" spans="1:16" x14ac:dyDescent="0.2">
      <c r="A197" t="s">
        <v>411</v>
      </c>
      <c r="B197" t="s">
        <v>211</v>
      </c>
      <c r="C197" t="s">
        <v>97</v>
      </c>
      <c r="D197">
        <v>35</v>
      </c>
      <c r="E197">
        <v>193</v>
      </c>
      <c r="F197">
        <v>7969537</v>
      </c>
      <c r="G197" t="s">
        <v>412</v>
      </c>
      <c r="H197">
        <f t="shared" si="12"/>
        <v>1</v>
      </c>
      <c r="I197">
        <v>39</v>
      </c>
      <c r="J197">
        <v>1.5249999999999999</v>
      </c>
      <c r="K197">
        <f t="shared" si="13"/>
        <v>0</v>
      </c>
      <c r="L197">
        <f t="shared" si="14"/>
        <v>0</v>
      </c>
      <c r="M197">
        <v>20</v>
      </c>
      <c r="N197">
        <v>204</v>
      </c>
      <c r="O197">
        <f t="shared" si="15"/>
        <v>0</v>
      </c>
      <c r="P197">
        <v>0.48599999999999999</v>
      </c>
    </row>
    <row r="198" spans="1:16" x14ac:dyDescent="0.2">
      <c r="A198" t="s">
        <v>413</v>
      </c>
      <c r="B198" t="s">
        <v>211</v>
      </c>
      <c r="C198" t="s">
        <v>97</v>
      </c>
      <c r="D198">
        <v>24</v>
      </c>
      <c r="E198">
        <v>183</v>
      </c>
      <c r="F198">
        <v>4548280</v>
      </c>
      <c r="G198" t="s">
        <v>414</v>
      </c>
      <c r="H198">
        <f t="shared" si="12"/>
        <v>1</v>
      </c>
      <c r="I198">
        <v>11</v>
      </c>
      <c r="J198">
        <v>1.0454545454545454</v>
      </c>
      <c r="K198">
        <f t="shared" si="13"/>
        <v>0</v>
      </c>
      <c r="L198">
        <f t="shared" si="14"/>
        <v>0</v>
      </c>
      <c r="M198">
        <v>16</v>
      </c>
      <c r="N198">
        <v>112</v>
      </c>
      <c r="O198">
        <f t="shared" si="15"/>
        <v>0</v>
      </c>
      <c r="P198">
        <v>0.49399999999999999</v>
      </c>
    </row>
    <row r="199" spans="1:16" x14ac:dyDescent="0.2">
      <c r="A199" t="s">
        <v>415</v>
      </c>
      <c r="B199" t="s">
        <v>211</v>
      </c>
      <c r="C199" t="s">
        <v>97</v>
      </c>
      <c r="D199">
        <v>30</v>
      </c>
      <c r="E199">
        <v>134</v>
      </c>
      <c r="F199">
        <v>4102564</v>
      </c>
      <c r="G199" t="s">
        <v>416</v>
      </c>
      <c r="H199">
        <f t="shared" si="12"/>
        <v>1</v>
      </c>
      <c r="I199">
        <v>14</v>
      </c>
      <c r="J199">
        <v>3.6666666666666665</v>
      </c>
      <c r="K199">
        <f t="shared" si="13"/>
        <v>0</v>
      </c>
      <c r="L199">
        <f t="shared" si="14"/>
        <v>0</v>
      </c>
      <c r="M199">
        <v>3</v>
      </c>
      <c r="N199">
        <v>122</v>
      </c>
      <c r="O199">
        <f t="shared" si="15"/>
        <v>0</v>
      </c>
      <c r="P199">
        <v>0.40799999999999997</v>
      </c>
    </row>
    <row r="200" spans="1:16" x14ac:dyDescent="0.2">
      <c r="A200" t="s">
        <v>417</v>
      </c>
      <c r="B200" t="s">
        <v>211</v>
      </c>
      <c r="C200" t="s">
        <v>97</v>
      </c>
      <c r="D200">
        <v>27</v>
      </c>
      <c r="E200">
        <v>194</v>
      </c>
      <c r="F200">
        <v>3623000</v>
      </c>
      <c r="G200" t="s">
        <v>418</v>
      </c>
      <c r="H200">
        <f t="shared" si="12"/>
        <v>1</v>
      </c>
      <c r="I200">
        <v>30</v>
      </c>
      <c r="J200">
        <v>2</v>
      </c>
      <c r="K200">
        <f t="shared" si="13"/>
        <v>0</v>
      </c>
      <c r="L200">
        <f t="shared" si="14"/>
        <v>0</v>
      </c>
      <c r="M200">
        <v>20</v>
      </c>
      <c r="N200">
        <v>89</v>
      </c>
      <c r="O200">
        <f t="shared" si="15"/>
        <v>0</v>
      </c>
      <c r="P200">
        <v>0.48799999999999999</v>
      </c>
    </row>
    <row r="201" spans="1:16" x14ac:dyDescent="0.2">
      <c r="A201" t="s">
        <v>419</v>
      </c>
      <c r="B201" t="s">
        <v>211</v>
      </c>
      <c r="C201" t="s">
        <v>97</v>
      </c>
      <c r="D201">
        <v>21</v>
      </c>
      <c r="E201">
        <v>161</v>
      </c>
      <c r="F201">
        <v>3219480</v>
      </c>
      <c r="G201" t="s">
        <v>420</v>
      </c>
      <c r="H201">
        <f t="shared" si="12"/>
        <v>1</v>
      </c>
      <c r="I201">
        <v>10</v>
      </c>
      <c r="J201">
        <v>1.3809523809523809</v>
      </c>
      <c r="K201">
        <f t="shared" si="13"/>
        <v>0</v>
      </c>
      <c r="L201">
        <f t="shared" si="14"/>
        <v>0</v>
      </c>
      <c r="M201">
        <v>6</v>
      </c>
      <c r="N201">
        <v>105</v>
      </c>
      <c r="O201">
        <f t="shared" si="15"/>
        <v>0</v>
      </c>
      <c r="P201">
        <v>0.50700000000000001</v>
      </c>
    </row>
    <row r="202" spans="1:16" x14ac:dyDescent="0.2">
      <c r="A202" t="s">
        <v>421</v>
      </c>
      <c r="B202" t="s">
        <v>211</v>
      </c>
      <c r="C202" t="s">
        <v>97</v>
      </c>
      <c r="D202">
        <v>24</v>
      </c>
      <c r="E202">
        <v>107</v>
      </c>
      <c r="F202">
        <v>2443440</v>
      </c>
      <c r="G202" t="s">
        <v>422</v>
      </c>
      <c r="H202">
        <f t="shared" si="12"/>
        <v>1</v>
      </c>
      <c r="I202">
        <v>12</v>
      </c>
      <c r="J202">
        <v>0.85</v>
      </c>
      <c r="K202">
        <f t="shared" si="13"/>
        <v>0</v>
      </c>
      <c r="L202">
        <f t="shared" si="14"/>
        <v>0</v>
      </c>
      <c r="M202">
        <v>5</v>
      </c>
      <c r="N202">
        <v>78</v>
      </c>
      <c r="O202">
        <f t="shared" si="15"/>
        <v>0</v>
      </c>
      <c r="P202">
        <v>0.41699999999999998</v>
      </c>
    </row>
    <row r="203" spans="1:16" x14ac:dyDescent="0.2">
      <c r="A203" t="s">
        <v>423</v>
      </c>
      <c r="B203" t="s">
        <v>211</v>
      </c>
      <c r="C203" t="s">
        <v>97</v>
      </c>
      <c r="D203">
        <v>26</v>
      </c>
      <c r="E203">
        <v>119</v>
      </c>
      <c r="F203">
        <v>2000000</v>
      </c>
      <c r="G203" t="s">
        <v>424</v>
      </c>
      <c r="H203">
        <f t="shared" si="12"/>
        <v>1</v>
      </c>
      <c r="I203">
        <v>13</v>
      </c>
      <c r="J203">
        <v>1.8235294117647058</v>
      </c>
      <c r="K203">
        <f t="shared" si="13"/>
        <v>0</v>
      </c>
      <c r="L203">
        <f t="shared" si="14"/>
        <v>0</v>
      </c>
      <c r="M203">
        <v>7</v>
      </c>
      <c r="N203">
        <v>115</v>
      </c>
      <c r="O203">
        <f t="shared" si="15"/>
        <v>0</v>
      </c>
      <c r="P203">
        <v>0.42</v>
      </c>
    </row>
    <row r="204" spans="1:16" x14ac:dyDescent="0.2">
      <c r="A204" t="s">
        <v>425</v>
      </c>
      <c r="B204" t="s">
        <v>211</v>
      </c>
      <c r="C204" t="s">
        <v>97</v>
      </c>
      <c r="D204">
        <v>22</v>
      </c>
      <c r="E204">
        <v>31</v>
      </c>
      <c r="F204">
        <v>1780152</v>
      </c>
      <c r="G204" t="s">
        <v>426</v>
      </c>
      <c r="H204">
        <f t="shared" si="12"/>
        <v>1</v>
      </c>
      <c r="I204">
        <v>9</v>
      </c>
      <c r="J204">
        <v>0.76923076923076927</v>
      </c>
      <c r="K204">
        <f t="shared" si="13"/>
        <v>0</v>
      </c>
      <c r="L204">
        <f t="shared" si="14"/>
        <v>0</v>
      </c>
      <c r="M204">
        <v>4</v>
      </c>
      <c r="N204">
        <v>23</v>
      </c>
      <c r="O204">
        <f t="shared" si="15"/>
        <v>0</v>
      </c>
      <c r="P204">
        <v>0.438</v>
      </c>
    </row>
    <row r="205" spans="1:16" x14ac:dyDescent="0.2">
      <c r="A205" t="s">
        <v>427</v>
      </c>
      <c r="B205" t="s">
        <v>211</v>
      </c>
      <c r="C205" t="s">
        <v>97</v>
      </c>
      <c r="D205">
        <v>26</v>
      </c>
      <c r="E205">
        <v>99</v>
      </c>
      <c r="F205">
        <v>1678854</v>
      </c>
      <c r="G205" t="s">
        <v>428</v>
      </c>
      <c r="H205">
        <f t="shared" si="12"/>
        <v>1</v>
      </c>
      <c r="I205">
        <v>15</v>
      </c>
      <c r="J205">
        <v>0.94736842105263153</v>
      </c>
      <c r="K205">
        <f t="shared" si="13"/>
        <v>0</v>
      </c>
      <c r="L205">
        <f t="shared" si="14"/>
        <v>0</v>
      </c>
      <c r="M205">
        <v>4</v>
      </c>
      <c r="N205">
        <v>90</v>
      </c>
      <c r="O205">
        <f t="shared" si="15"/>
        <v>0</v>
      </c>
      <c r="P205">
        <v>0.35799999999999998</v>
      </c>
    </row>
    <row r="206" spans="1:16" x14ac:dyDescent="0.2">
      <c r="A206" t="s">
        <v>429</v>
      </c>
      <c r="B206" t="s">
        <v>211</v>
      </c>
      <c r="C206" t="s">
        <v>97</v>
      </c>
      <c r="D206">
        <v>22</v>
      </c>
      <c r="E206">
        <v>604</v>
      </c>
      <c r="F206">
        <v>1663861</v>
      </c>
      <c r="G206" t="s">
        <v>430</v>
      </c>
      <c r="H206">
        <f t="shared" si="12"/>
        <v>1</v>
      </c>
      <c r="I206">
        <v>41</v>
      </c>
      <c r="J206">
        <v>1.3289473684210527</v>
      </c>
      <c r="K206">
        <f t="shared" si="13"/>
        <v>0</v>
      </c>
      <c r="L206">
        <f t="shared" si="14"/>
        <v>0</v>
      </c>
      <c r="M206">
        <v>24</v>
      </c>
      <c r="N206">
        <v>272</v>
      </c>
      <c r="O206">
        <f t="shared" si="15"/>
        <v>0</v>
      </c>
      <c r="P206">
        <v>0.50600000000000001</v>
      </c>
    </row>
    <row r="207" spans="1:16" x14ac:dyDescent="0.2">
      <c r="A207" t="s">
        <v>431</v>
      </c>
      <c r="B207" t="s">
        <v>211</v>
      </c>
      <c r="C207" t="s">
        <v>97</v>
      </c>
      <c r="D207">
        <v>23</v>
      </c>
      <c r="E207">
        <v>559</v>
      </c>
      <c r="F207">
        <v>1663861</v>
      </c>
      <c r="G207" t="s">
        <v>432</v>
      </c>
      <c r="H207">
        <f t="shared" si="12"/>
        <v>1</v>
      </c>
      <c r="I207">
        <v>51</v>
      </c>
      <c r="J207">
        <v>1.25</v>
      </c>
      <c r="K207">
        <f t="shared" si="13"/>
        <v>0</v>
      </c>
      <c r="L207">
        <f t="shared" si="14"/>
        <v>0</v>
      </c>
      <c r="M207">
        <v>12</v>
      </c>
      <c r="N207">
        <v>163</v>
      </c>
      <c r="O207">
        <f t="shared" si="15"/>
        <v>0</v>
      </c>
      <c r="P207">
        <v>0.51500000000000001</v>
      </c>
    </row>
    <row r="208" spans="1:16" x14ac:dyDescent="0.2">
      <c r="A208" t="s">
        <v>433</v>
      </c>
      <c r="B208" t="s">
        <v>211</v>
      </c>
      <c r="C208" t="s">
        <v>97</v>
      </c>
      <c r="D208">
        <v>30</v>
      </c>
      <c r="E208">
        <v>274</v>
      </c>
      <c r="F208">
        <v>1620564</v>
      </c>
      <c r="G208" t="s">
        <v>434</v>
      </c>
      <c r="H208">
        <f t="shared" si="12"/>
        <v>1</v>
      </c>
      <c r="I208">
        <v>28</v>
      </c>
      <c r="J208">
        <v>1.96</v>
      </c>
      <c r="K208">
        <f t="shared" si="13"/>
        <v>0</v>
      </c>
      <c r="L208">
        <f t="shared" si="14"/>
        <v>0</v>
      </c>
      <c r="M208">
        <v>26</v>
      </c>
      <c r="N208">
        <v>197</v>
      </c>
      <c r="O208">
        <f t="shared" si="15"/>
        <v>0</v>
      </c>
      <c r="P208">
        <v>0.56599999999999995</v>
      </c>
    </row>
    <row r="209" spans="1:16" x14ac:dyDescent="0.2">
      <c r="A209" t="s">
        <v>435</v>
      </c>
      <c r="B209" t="s">
        <v>211</v>
      </c>
      <c r="C209" t="s">
        <v>97</v>
      </c>
      <c r="D209">
        <v>24</v>
      </c>
      <c r="E209">
        <v>32</v>
      </c>
      <c r="F209">
        <v>1517981</v>
      </c>
      <c r="G209" t="s">
        <v>436</v>
      </c>
      <c r="H209">
        <f t="shared" si="12"/>
        <v>1</v>
      </c>
      <c r="I209">
        <v>1</v>
      </c>
      <c r="J209">
        <v>0.6</v>
      </c>
      <c r="K209">
        <f t="shared" si="13"/>
        <v>0</v>
      </c>
      <c r="L209">
        <f t="shared" si="14"/>
        <v>0</v>
      </c>
      <c r="M209">
        <v>6</v>
      </c>
      <c r="N209">
        <v>27</v>
      </c>
      <c r="O209">
        <f t="shared" si="15"/>
        <v>0</v>
      </c>
      <c r="P209">
        <v>0.65600000000000003</v>
      </c>
    </row>
    <row r="210" spans="1:16" x14ac:dyDescent="0.2">
      <c r="A210" t="s">
        <v>437</v>
      </c>
      <c r="B210" t="s">
        <v>211</v>
      </c>
      <c r="C210" t="s">
        <v>97</v>
      </c>
      <c r="D210">
        <v>27</v>
      </c>
      <c r="E210">
        <v>146</v>
      </c>
      <c r="F210">
        <v>1517981</v>
      </c>
      <c r="G210" t="s">
        <v>438</v>
      </c>
      <c r="H210">
        <f t="shared" si="12"/>
        <v>1</v>
      </c>
      <c r="I210">
        <v>28</v>
      </c>
      <c r="J210">
        <v>0.89473684210526316</v>
      </c>
      <c r="K210">
        <f t="shared" si="13"/>
        <v>0</v>
      </c>
      <c r="L210">
        <f t="shared" si="14"/>
        <v>0</v>
      </c>
      <c r="M210">
        <v>6</v>
      </c>
      <c r="N210">
        <v>71</v>
      </c>
      <c r="O210">
        <f t="shared" si="15"/>
        <v>0</v>
      </c>
      <c r="P210">
        <v>0.56899999999999995</v>
      </c>
    </row>
    <row r="211" spans="1:16" x14ac:dyDescent="0.2">
      <c r="A211" t="s">
        <v>439</v>
      </c>
      <c r="B211" t="s">
        <v>211</v>
      </c>
      <c r="C211" t="s">
        <v>97</v>
      </c>
      <c r="D211">
        <v>31</v>
      </c>
      <c r="E211">
        <v>505</v>
      </c>
      <c r="F211">
        <v>776983</v>
      </c>
      <c r="G211" t="s">
        <v>440</v>
      </c>
      <c r="H211">
        <f t="shared" si="12"/>
        <v>1</v>
      </c>
      <c r="I211">
        <v>32</v>
      </c>
      <c r="J211">
        <v>2.2580645161290325</v>
      </c>
      <c r="K211">
        <f t="shared" si="13"/>
        <v>0</v>
      </c>
      <c r="L211">
        <f t="shared" si="14"/>
        <v>0</v>
      </c>
      <c r="M211">
        <v>15</v>
      </c>
      <c r="N211">
        <v>225</v>
      </c>
      <c r="O211">
        <f t="shared" si="15"/>
        <v>0</v>
      </c>
      <c r="P211">
        <v>0.50900000000000001</v>
      </c>
    </row>
    <row r="212" spans="1:16" x14ac:dyDescent="0.2">
      <c r="A212" t="s">
        <v>441</v>
      </c>
      <c r="B212" t="s">
        <v>211</v>
      </c>
      <c r="C212" t="s">
        <v>97</v>
      </c>
      <c r="D212">
        <v>25</v>
      </c>
      <c r="E212">
        <v>245</v>
      </c>
      <c r="F212">
        <v>449155</v>
      </c>
      <c r="G212" t="s">
        <v>442</v>
      </c>
      <c r="H212">
        <f t="shared" si="12"/>
        <v>1</v>
      </c>
      <c r="I212">
        <v>15</v>
      </c>
      <c r="J212">
        <v>1.625</v>
      </c>
      <c r="K212">
        <f t="shared" si="13"/>
        <v>0</v>
      </c>
      <c r="L212">
        <f t="shared" si="14"/>
        <v>0</v>
      </c>
      <c r="M212">
        <v>2</v>
      </c>
      <c r="N212">
        <v>77</v>
      </c>
      <c r="O212">
        <f t="shared" si="15"/>
        <v>0</v>
      </c>
      <c r="P212">
        <v>0.48399999999999999</v>
      </c>
    </row>
    <row r="213" spans="1:16" x14ac:dyDescent="0.2">
      <c r="A213" t="s">
        <v>443</v>
      </c>
      <c r="B213" t="s">
        <v>211</v>
      </c>
      <c r="C213" t="s">
        <v>97</v>
      </c>
      <c r="D213">
        <v>32</v>
      </c>
      <c r="E213">
        <v>242</v>
      </c>
      <c r="F213">
        <v>432890</v>
      </c>
      <c r="G213" t="s">
        <v>444</v>
      </c>
      <c r="H213">
        <f t="shared" si="12"/>
        <v>1</v>
      </c>
      <c r="I213">
        <v>15</v>
      </c>
      <c r="J213">
        <v>2.0909090909090908</v>
      </c>
      <c r="K213">
        <f t="shared" si="13"/>
        <v>0</v>
      </c>
      <c r="L213">
        <f t="shared" si="14"/>
        <v>0</v>
      </c>
      <c r="M213">
        <v>5</v>
      </c>
      <c r="N213">
        <v>127</v>
      </c>
      <c r="O213">
        <f t="shared" si="15"/>
        <v>0</v>
      </c>
      <c r="P213">
        <v>0.52300000000000002</v>
      </c>
    </row>
    <row r="214" spans="1:16" x14ac:dyDescent="0.2">
      <c r="A214" t="s">
        <v>445</v>
      </c>
      <c r="B214" t="s">
        <v>211</v>
      </c>
      <c r="C214" t="s">
        <v>97</v>
      </c>
      <c r="D214">
        <v>25</v>
      </c>
      <c r="E214">
        <v>72</v>
      </c>
      <c r="F214">
        <v>430729</v>
      </c>
      <c r="G214" t="s">
        <v>446</v>
      </c>
      <c r="H214">
        <f t="shared" si="12"/>
        <v>1</v>
      </c>
      <c r="I214">
        <v>1</v>
      </c>
      <c r="J214">
        <v>1.1000000000000001</v>
      </c>
      <c r="K214">
        <f t="shared" si="13"/>
        <v>0</v>
      </c>
      <c r="L214">
        <f t="shared" si="14"/>
        <v>0</v>
      </c>
      <c r="M214">
        <v>5</v>
      </c>
      <c r="N214">
        <v>42</v>
      </c>
      <c r="O214">
        <f t="shared" si="15"/>
        <v>0</v>
      </c>
      <c r="P214">
        <v>0.56399999999999995</v>
      </c>
    </row>
    <row r="215" spans="1:16" x14ac:dyDescent="0.2">
      <c r="A215" t="s">
        <v>447</v>
      </c>
      <c r="B215" t="s">
        <v>211</v>
      </c>
      <c r="C215" t="s">
        <v>97</v>
      </c>
      <c r="D215">
        <v>23</v>
      </c>
      <c r="E215">
        <v>156</v>
      </c>
      <c r="F215">
        <v>396081</v>
      </c>
      <c r="G215" t="s">
        <v>448</v>
      </c>
      <c r="H215">
        <f t="shared" si="12"/>
        <v>1</v>
      </c>
      <c r="I215">
        <v>8</v>
      </c>
      <c r="J215">
        <v>0.80952380952380953</v>
      </c>
      <c r="K215">
        <f t="shared" si="13"/>
        <v>0</v>
      </c>
      <c r="L215">
        <f t="shared" si="14"/>
        <v>0</v>
      </c>
      <c r="M215">
        <v>2</v>
      </c>
      <c r="N215">
        <v>95</v>
      </c>
      <c r="O215">
        <f t="shared" si="15"/>
        <v>0</v>
      </c>
      <c r="P215">
        <v>0.67500000000000004</v>
      </c>
    </row>
    <row r="216" spans="1:16" x14ac:dyDescent="0.2">
      <c r="A216" t="s">
        <v>449</v>
      </c>
      <c r="B216" t="s">
        <v>211</v>
      </c>
      <c r="C216" t="s">
        <v>97</v>
      </c>
      <c r="D216">
        <v>23</v>
      </c>
      <c r="E216">
        <v>95</v>
      </c>
      <c r="F216">
        <v>154433</v>
      </c>
      <c r="G216" t="s">
        <v>450</v>
      </c>
      <c r="H216">
        <f t="shared" si="12"/>
        <v>1</v>
      </c>
      <c r="I216">
        <v>8</v>
      </c>
      <c r="J216">
        <v>1.1333333333333333</v>
      </c>
      <c r="K216">
        <f t="shared" si="13"/>
        <v>0</v>
      </c>
      <c r="L216">
        <f t="shared" si="14"/>
        <v>0</v>
      </c>
      <c r="M216">
        <v>13</v>
      </c>
      <c r="N216">
        <v>60</v>
      </c>
      <c r="O216">
        <f t="shared" si="15"/>
        <v>0</v>
      </c>
      <c r="P216">
        <v>0.44400000000000001</v>
      </c>
    </row>
    <row r="217" spans="1:16" x14ac:dyDescent="0.2">
      <c r="A217" t="s">
        <v>451</v>
      </c>
      <c r="B217" t="s">
        <v>211</v>
      </c>
      <c r="C217" t="s">
        <v>97</v>
      </c>
      <c r="D217">
        <v>22</v>
      </c>
      <c r="E217">
        <v>91</v>
      </c>
      <c r="F217">
        <v>49510</v>
      </c>
      <c r="G217" t="s">
        <v>452</v>
      </c>
      <c r="H217">
        <f t="shared" si="12"/>
        <v>1</v>
      </c>
      <c r="I217">
        <v>4</v>
      </c>
      <c r="J217">
        <v>1.4166666666666667</v>
      </c>
      <c r="K217">
        <f t="shared" si="13"/>
        <v>0</v>
      </c>
      <c r="L217">
        <f t="shared" si="14"/>
        <v>0</v>
      </c>
      <c r="M217">
        <v>3</v>
      </c>
      <c r="N217">
        <v>45</v>
      </c>
      <c r="O217">
        <f t="shared" si="15"/>
        <v>0</v>
      </c>
      <c r="P217">
        <v>0.48799999999999999</v>
      </c>
    </row>
    <row r="218" spans="1:16" x14ac:dyDescent="0.2">
      <c r="A218" t="s">
        <v>453</v>
      </c>
      <c r="B218" t="s">
        <v>211</v>
      </c>
      <c r="C218" t="s">
        <v>136</v>
      </c>
      <c r="D218">
        <v>32</v>
      </c>
      <c r="E218">
        <v>943</v>
      </c>
      <c r="F218">
        <v>40108950</v>
      </c>
      <c r="G218" t="s">
        <v>454</v>
      </c>
      <c r="H218">
        <f t="shared" si="12"/>
        <v>1</v>
      </c>
      <c r="I218">
        <v>25</v>
      </c>
      <c r="J218">
        <v>1.625</v>
      </c>
      <c r="K218">
        <f t="shared" si="13"/>
        <v>1</v>
      </c>
      <c r="L218">
        <f t="shared" si="14"/>
        <v>0</v>
      </c>
      <c r="M218">
        <v>45</v>
      </c>
      <c r="N218">
        <v>247</v>
      </c>
      <c r="O218">
        <f t="shared" si="15"/>
        <v>0</v>
      </c>
      <c r="P218">
        <v>0.60799999999999998</v>
      </c>
    </row>
    <row r="219" spans="1:16" x14ac:dyDescent="0.2">
      <c r="A219" t="s">
        <v>455</v>
      </c>
      <c r="B219" t="s">
        <v>211</v>
      </c>
      <c r="C219" t="s">
        <v>136</v>
      </c>
      <c r="D219">
        <v>31</v>
      </c>
      <c r="E219">
        <v>1116</v>
      </c>
      <c r="F219">
        <v>34379100</v>
      </c>
      <c r="G219" t="s">
        <v>456</v>
      </c>
      <c r="H219">
        <f t="shared" si="12"/>
        <v>1</v>
      </c>
      <c r="I219">
        <v>108</v>
      </c>
      <c r="J219">
        <v>3.3853211009174311</v>
      </c>
      <c r="K219">
        <f t="shared" si="13"/>
        <v>1</v>
      </c>
      <c r="L219">
        <f t="shared" si="14"/>
        <v>0</v>
      </c>
      <c r="M219">
        <v>18</v>
      </c>
      <c r="N219">
        <v>359</v>
      </c>
      <c r="O219">
        <f t="shared" si="15"/>
        <v>0</v>
      </c>
      <c r="P219">
        <v>0.51400000000000001</v>
      </c>
    </row>
    <row r="220" spans="1:16" x14ac:dyDescent="0.2">
      <c r="A220" t="s">
        <v>457</v>
      </c>
      <c r="B220" t="s">
        <v>211</v>
      </c>
      <c r="C220" t="s">
        <v>136</v>
      </c>
      <c r="D220">
        <v>28</v>
      </c>
      <c r="E220">
        <v>1210</v>
      </c>
      <c r="F220">
        <v>34358850</v>
      </c>
      <c r="G220" t="s">
        <v>458</v>
      </c>
      <c r="H220">
        <f t="shared" si="12"/>
        <v>1</v>
      </c>
      <c r="I220">
        <v>55</v>
      </c>
      <c r="J220">
        <v>2.05607476635514</v>
      </c>
      <c r="K220">
        <f t="shared" si="13"/>
        <v>1</v>
      </c>
      <c r="L220">
        <f t="shared" si="14"/>
        <v>0</v>
      </c>
      <c r="M220">
        <v>51</v>
      </c>
      <c r="N220">
        <v>419</v>
      </c>
      <c r="O220">
        <f t="shared" si="15"/>
        <v>0</v>
      </c>
      <c r="P220">
        <v>0.55600000000000005</v>
      </c>
    </row>
    <row r="221" spans="1:16" x14ac:dyDescent="0.2">
      <c r="A221" t="s">
        <v>459</v>
      </c>
      <c r="B221" t="s">
        <v>211</v>
      </c>
      <c r="C221" t="s">
        <v>136</v>
      </c>
      <c r="D221">
        <v>29</v>
      </c>
      <c r="E221">
        <v>1385</v>
      </c>
      <c r="F221">
        <v>33051724</v>
      </c>
      <c r="G221" t="s">
        <v>460</v>
      </c>
      <c r="H221">
        <f t="shared" si="12"/>
        <v>1</v>
      </c>
      <c r="I221">
        <v>74</v>
      </c>
      <c r="J221">
        <v>2.0786516853932584</v>
      </c>
      <c r="K221">
        <f t="shared" si="13"/>
        <v>1</v>
      </c>
      <c r="L221">
        <f t="shared" si="14"/>
        <v>0</v>
      </c>
      <c r="M221">
        <v>9</v>
      </c>
      <c r="N221">
        <v>406</v>
      </c>
      <c r="O221">
        <f t="shared" si="15"/>
        <v>0</v>
      </c>
      <c r="P221">
        <v>0.54600000000000004</v>
      </c>
    </row>
    <row r="222" spans="1:16" x14ac:dyDescent="0.2">
      <c r="A222" t="s">
        <v>461</v>
      </c>
      <c r="B222" t="s">
        <v>211</v>
      </c>
      <c r="C222" t="s">
        <v>136</v>
      </c>
      <c r="D222">
        <v>32</v>
      </c>
      <c r="E222">
        <v>305</v>
      </c>
      <c r="F222">
        <v>31258256</v>
      </c>
      <c r="G222" t="s">
        <v>462</v>
      </c>
      <c r="H222">
        <f t="shared" si="12"/>
        <v>1</v>
      </c>
      <c r="I222">
        <v>16</v>
      </c>
      <c r="J222">
        <v>1.6578947368421053</v>
      </c>
      <c r="K222">
        <f t="shared" si="13"/>
        <v>1</v>
      </c>
      <c r="L222">
        <f t="shared" si="14"/>
        <v>0</v>
      </c>
      <c r="M222">
        <v>2</v>
      </c>
      <c r="N222">
        <v>186</v>
      </c>
      <c r="O222">
        <f t="shared" si="15"/>
        <v>0</v>
      </c>
      <c r="P222">
        <v>0.52200000000000002</v>
      </c>
    </row>
    <row r="223" spans="1:16" x14ac:dyDescent="0.2">
      <c r="A223" t="s">
        <v>463</v>
      </c>
      <c r="B223" t="s">
        <v>211</v>
      </c>
      <c r="C223" t="s">
        <v>136</v>
      </c>
      <c r="D223">
        <v>26</v>
      </c>
      <c r="E223">
        <v>1196</v>
      </c>
      <c r="F223">
        <v>30559200</v>
      </c>
      <c r="G223" t="s">
        <v>464</v>
      </c>
      <c r="H223">
        <f t="shared" si="12"/>
        <v>1</v>
      </c>
      <c r="I223">
        <v>64</v>
      </c>
      <c r="J223">
        <v>1.9230769230769231</v>
      </c>
      <c r="K223">
        <f t="shared" si="13"/>
        <v>1</v>
      </c>
      <c r="L223">
        <f t="shared" si="14"/>
        <v>0</v>
      </c>
      <c r="M223">
        <v>37</v>
      </c>
      <c r="N223">
        <v>405</v>
      </c>
      <c r="O223">
        <f t="shared" si="15"/>
        <v>0</v>
      </c>
      <c r="P223">
        <v>0.49299999999999999</v>
      </c>
    </row>
    <row r="224" spans="1:16" x14ac:dyDescent="0.2">
      <c r="A224" t="s">
        <v>465</v>
      </c>
      <c r="B224" t="s">
        <v>211</v>
      </c>
      <c r="C224" t="s">
        <v>136</v>
      </c>
      <c r="D224">
        <v>30</v>
      </c>
      <c r="E224">
        <v>863</v>
      </c>
      <c r="F224">
        <v>28500000</v>
      </c>
      <c r="G224" t="s">
        <v>466</v>
      </c>
      <c r="H224">
        <f t="shared" si="12"/>
        <v>1</v>
      </c>
      <c r="I224">
        <v>52</v>
      </c>
      <c r="J224">
        <v>1.9890109890109891</v>
      </c>
      <c r="K224">
        <f t="shared" si="13"/>
        <v>1</v>
      </c>
      <c r="L224">
        <f t="shared" si="14"/>
        <v>0</v>
      </c>
      <c r="M224">
        <v>14</v>
      </c>
      <c r="N224">
        <v>258</v>
      </c>
      <c r="O224">
        <f t="shared" si="15"/>
        <v>0</v>
      </c>
      <c r="P224">
        <v>0.53700000000000003</v>
      </c>
    </row>
    <row r="225" spans="1:16" x14ac:dyDescent="0.2">
      <c r="A225" t="s">
        <v>467</v>
      </c>
      <c r="B225" t="s">
        <v>211</v>
      </c>
      <c r="C225" t="s">
        <v>136</v>
      </c>
      <c r="D225">
        <v>26</v>
      </c>
      <c r="E225">
        <v>1717</v>
      </c>
      <c r="F225">
        <v>27528090</v>
      </c>
      <c r="G225" t="s">
        <v>468</v>
      </c>
      <c r="H225">
        <f t="shared" si="12"/>
        <v>1</v>
      </c>
      <c r="I225">
        <v>72</v>
      </c>
      <c r="J225">
        <v>1.7246376811594204</v>
      </c>
      <c r="K225">
        <f t="shared" si="13"/>
        <v>1</v>
      </c>
      <c r="L225">
        <f t="shared" si="14"/>
        <v>0</v>
      </c>
      <c r="M225">
        <v>73</v>
      </c>
      <c r="N225">
        <v>671</v>
      </c>
      <c r="O225">
        <f t="shared" si="15"/>
        <v>0</v>
      </c>
      <c r="P225">
        <v>0.6</v>
      </c>
    </row>
    <row r="226" spans="1:16" x14ac:dyDescent="0.2">
      <c r="A226" t="s">
        <v>469</v>
      </c>
      <c r="B226" t="s">
        <v>211</v>
      </c>
      <c r="C226" t="s">
        <v>136</v>
      </c>
      <c r="D226">
        <v>24</v>
      </c>
      <c r="E226">
        <v>1260</v>
      </c>
      <c r="F226">
        <v>19800000</v>
      </c>
      <c r="G226" t="s">
        <v>470</v>
      </c>
      <c r="H226">
        <f t="shared" si="12"/>
        <v>1</v>
      </c>
      <c r="I226">
        <v>76</v>
      </c>
      <c r="J226">
        <v>1.948356807511737</v>
      </c>
      <c r="K226">
        <f t="shared" si="13"/>
        <v>1</v>
      </c>
      <c r="L226">
        <f t="shared" si="14"/>
        <v>0</v>
      </c>
      <c r="M226">
        <v>33</v>
      </c>
      <c r="N226">
        <v>742</v>
      </c>
      <c r="O226">
        <f t="shared" si="15"/>
        <v>0</v>
      </c>
      <c r="P226">
        <v>0.56399999999999995</v>
      </c>
    </row>
    <row r="227" spans="1:16" x14ac:dyDescent="0.2">
      <c r="A227" t="s">
        <v>471</v>
      </c>
      <c r="B227" t="s">
        <v>211</v>
      </c>
      <c r="C227" t="s">
        <v>136</v>
      </c>
      <c r="D227">
        <v>32</v>
      </c>
      <c r="E227">
        <v>676</v>
      </c>
      <c r="F227">
        <v>19500000</v>
      </c>
      <c r="G227" t="s">
        <v>472</v>
      </c>
      <c r="H227">
        <f t="shared" si="12"/>
        <v>1</v>
      </c>
      <c r="I227">
        <v>30</v>
      </c>
      <c r="J227">
        <v>1.7674418604651163</v>
      </c>
      <c r="K227">
        <f t="shared" si="13"/>
        <v>1</v>
      </c>
      <c r="L227">
        <f t="shared" si="14"/>
        <v>0</v>
      </c>
      <c r="M227">
        <v>10</v>
      </c>
      <c r="N227">
        <v>211</v>
      </c>
      <c r="O227">
        <f t="shared" si="15"/>
        <v>0</v>
      </c>
      <c r="P227">
        <v>0.54200000000000004</v>
      </c>
    </row>
    <row r="228" spans="1:16" x14ac:dyDescent="0.2">
      <c r="A228" t="s">
        <v>473</v>
      </c>
      <c r="B228" t="s">
        <v>211</v>
      </c>
      <c r="C228" t="s">
        <v>136</v>
      </c>
      <c r="D228">
        <v>26</v>
      </c>
      <c r="E228">
        <v>1205</v>
      </c>
      <c r="F228">
        <v>19050000</v>
      </c>
      <c r="G228" t="s">
        <v>474</v>
      </c>
      <c r="H228">
        <f t="shared" si="12"/>
        <v>1</v>
      </c>
      <c r="I228">
        <v>35</v>
      </c>
      <c r="J228">
        <v>1.3944954128440368</v>
      </c>
      <c r="K228">
        <f t="shared" si="13"/>
        <v>1</v>
      </c>
      <c r="L228">
        <f t="shared" si="14"/>
        <v>0</v>
      </c>
      <c r="M228">
        <v>58</v>
      </c>
      <c r="N228">
        <v>250</v>
      </c>
      <c r="O228">
        <f t="shared" si="15"/>
        <v>0</v>
      </c>
      <c r="P228">
        <v>0.49099999999999999</v>
      </c>
    </row>
    <row r="229" spans="1:16" x14ac:dyDescent="0.2">
      <c r="A229" t="s">
        <v>475</v>
      </c>
      <c r="B229" t="s">
        <v>211</v>
      </c>
      <c r="C229" t="s">
        <v>136</v>
      </c>
      <c r="D229">
        <v>26</v>
      </c>
      <c r="E229">
        <v>1712</v>
      </c>
      <c r="F229">
        <v>18900000</v>
      </c>
      <c r="G229" t="s">
        <v>476</v>
      </c>
      <c r="H229">
        <f t="shared" si="12"/>
        <v>1</v>
      </c>
      <c r="I229">
        <v>64</v>
      </c>
      <c r="J229">
        <v>1.7717842323651452</v>
      </c>
      <c r="K229">
        <f t="shared" si="13"/>
        <v>1</v>
      </c>
      <c r="L229">
        <f t="shared" si="14"/>
        <v>0</v>
      </c>
      <c r="M229">
        <v>18</v>
      </c>
      <c r="N229">
        <v>723</v>
      </c>
      <c r="O229">
        <f t="shared" si="15"/>
        <v>0</v>
      </c>
      <c r="P229">
        <v>0.51600000000000001</v>
      </c>
    </row>
    <row r="230" spans="1:16" x14ac:dyDescent="0.2">
      <c r="A230" t="s">
        <v>477</v>
      </c>
      <c r="B230" t="s">
        <v>211</v>
      </c>
      <c r="C230" t="s">
        <v>136</v>
      </c>
      <c r="D230">
        <v>29</v>
      </c>
      <c r="E230">
        <v>974</v>
      </c>
      <c r="F230">
        <v>16071429</v>
      </c>
      <c r="G230" t="s">
        <v>478</v>
      </c>
      <c r="H230">
        <f t="shared" si="12"/>
        <v>1</v>
      </c>
      <c r="I230">
        <v>46</v>
      </c>
      <c r="J230">
        <v>2.096774193548387</v>
      </c>
      <c r="K230">
        <f t="shared" si="13"/>
        <v>1</v>
      </c>
      <c r="L230">
        <f t="shared" si="14"/>
        <v>0</v>
      </c>
      <c r="M230">
        <v>14</v>
      </c>
      <c r="N230">
        <v>248</v>
      </c>
      <c r="O230">
        <f t="shared" si="15"/>
        <v>0</v>
      </c>
      <c r="P230">
        <v>0.65400000000000003</v>
      </c>
    </row>
    <row r="231" spans="1:16" x14ac:dyDescent="0.2">
      <c r="A231" t="s">
        <v>479</v>
      </c>
      <c r="B231" t="s">
        <v>211</v>
      </c>
      <c r="C231" t="s">
        <v>136</v>
      </c>
      <c r="D231">
        <v>33</v>
      </c>
      <c r="E231">
        <v>654</v>
      </c>
      <c r="F231">
        <v>15365853</v>
      </c>
      <c r="G231" t="s">
        <v>480</v>
      </c>
      <c r="H231">
        <f t="shared" si="12"/>
        <v>1</v>
      </c>
      <c r="I231">
        <v>92</v>
      </c>
      <c r="J231">
        <v>1.7611940298507462</v>
      </c>
      <c r="K231">
        <f t="shared" si="13"/>
        <v>1</v>
      </c>
      <c r="L231">
        <f t="shared" si="14"/>
        <v>0</v>
      </c>
      <c r="M231">
        <v>56</v>
      </c>
      <c r="N231">
        <v>260</v>
      </c>
      <c r="O231">
        <f t="shared" si="15"/>
        <v>0</v>
      </c>
      <c r="P231">
        <v>0.57299999999999995</v>
      </c>
    </row>
    <row r="232" spans="1:16" x14ac:dyDescent="0.2">
      <c r="A232" t="s">
        <v>481</v>
      </c>
      <c r="B232" t="s">
        <v>211</v>
      </c>
      <c r="C232" t="s">
        <v>136</v>
      </c>
      <c r="D232">
        <v>28</v>
      </c>
      <c r="E232">
        <v>655</v>
      </c>
      <c r="F232">
        <v>15000000</v>
      </c>
      <c r="G232" t="s">
        <v>482</v>
      </c>
      <c r="H232">
        <f t="shared" si="12"/>
        <v>1</v>
      </c>
      <c r="I232">
        <v>33</v>
      </c>
      <c r="J232">
        <v>1.4848484848484849</v>
      </c>
      <c r="K232">
        <f t="shared" si="13"/>
        <v>1</v>
      </c>
      <c r="L232">
        <f t="shared" si="14"/>
        <v>0</v>
      </c>
      <c r="M232">
        <v>13</v>
      </c>
      <c r="N232">
        <v>168</v>
      </c>
      <c r="O232">
        <f t="shared" si="15"/>
        <v>0</v>
      </c>
      <c r="P232">
        <v>0.58099999999999996</v>
      </c>
    </row>
    <row r="233" spans="1:16" x14ac:dyDescent="0.2">
      <c r="A233" t="s">
        <v>483</v>
      </c>
      <c r="B233" t="s">
        <v>211</v>
      </c>
      <c r="C233" t="s">
        <v>136</v>
      </c>
      <c r="D233">
        <v>37</v>
      </c>
      <c r="E233">
        <v>275</v>
      </c>
      <c r="F233">
        <v>15000000</v>
      </c>
      <c r="G233" t="s">
        <v>484</v>
      </c>
      <c r="H233">
        <f t="shared" si="12"/>
        <v>1</v>
      </c>
      <c r="I233">
        <v>57</v>
      </c>
      <c r="J233">
        <v>2.1194029850746268</v>
      </c>
      <c r="K233">
        <f t="shared" si="13"/>
        <v>1</v>
      </c>
      <c r="L233">
        <f t="shared" si="14"/>
        <v>0</v>
      </c>
      <c r="M233">
        <v>35</v>
      </c>
      <c r="N233">
        <v>221</v>
      </c>
      <c r="O233">
        <f t="shared" si="15"/>
        <v>0</v>
      </c>
      <c r="P233">
        <v>0.504</v>
      </c>
    </row>
    <row r="234" spans="1:16" x14ac:dyDescent="0.2">
      <c r="A234" t="s">
        <v>485</v>
      </c>
      <c r="B234" t="s">
        <v>211</v>
      </c>
      <c r="C234" t="s">
        <v>136</v>
      </c>
      <c r="D234">
        <v>32</v>
      </c>
      <c r="E234">
        <v>823</v>
      </c>
      <c r="F234">
        <v>13545000</v>
      </c>
      <c r="G234" t="s">
        <v>486</v>
      </c>
      <c r="H234">
        <f t="shared" si="12"/>
        <v>1</v>
      </c>
      <c r="I234">
        <v>74</v>
      </c>
      <c r="J234">
        <v>2.1240875912408761</v>
      </c>
      <c r="K234">
        <f t="shared" si="13"/>
        <v>1</v>
      </c>
      <c r="L234">
        <f t="shared" si="14"/>
        <v>0</v>
      </c>
      <c r="M234">
        <v>40</v>
      </c>
      <c r="N234">
        <v>423</v>
      </c>
      <c r="O234">
        <f t="shared" si="15"/>
        <v>0</v>
      </c>
      <c r="P234">
        <v>0.56799999999999995</v>
      </c>
    </row>
    <row r="235" spans="1:16" x14ac:dyDescent="0.2">
      <c r="A235" t="s">
        <v>487</v>
      </c>
      <c r="B235" t="s">
        <v>211</v>
      </c>
      <c r="C235" t="s">
        <v>136</v>
      </c>
      <c r="D235">
        <v>35</v>
      </c>
      <c r="E235">
        <v>282</v>
      </c>
      <c r="F235">
        <v>12800000</v>
      </c>
      <c r="G235" t="s">
        <v>488</v>
      </c>
      <c r="H235">
        <f t="shared" si="12"/>
        <v>1</v>
      </c>
      <c r="I235">
        <v>31</v>
      </c>
      <c r="J235">
        <v>2.6190476190476191</v>
      </c>
      <c r="K235">
        <f t="shared" si="13"/>
        <v>1</v>
      </c>
      <c r="L235">
        <f t="shared" si="14"/>
        <v>0</v>
      </c>
      <c r="M235">
        <v>18</v>
      </c>
      <c r="N235">
        <v>144</v>
      </c>
      <c r="O235">
        <f t="shared" si="15"/>
        <v>0</v>
      </c>
      <c r="P235">
        <v>0.51500000000000001</v>
      </c>
    </row>
    <row r="236" spans="1:16" x14ac:dyDescent="0.2">
      <c r="A236" t="s">
        <v>489</v>
      </c>
      <c r="B236" t="s">
        <v>211</v>
      </c>
      <c r="C236" t="s">
        <v>136</v>
      </c>
      <c r="D236">
        <v>27</v>
      </c>
      <c r="E236">
        <v>62</v>
      </c>
      <c r="F236">
        <v>12500000</v>
      </c>
      <c r="G236" t="s">
        <v>490</v>
      </c>
      <c r="H236">
        <f t="shared" si="12"/>
        <v>1</v>
      </c>
      <c r="I236">
        <v>2</v>
      </c>
      <c r="J236">
        <v>1.25</v>
      </c>
      <c r="K236">
        <f t="shared" si="13"/>
        <v>1</v>
      </c>
      <c r="L236">
        <f t="shared" si="14"/>
        <v>0</v>
      </c>
      <c r="M236">
        <v>0</v>
      </c>
      <c r="N236">
        <v>14</v>
      </c>
      <c r="O236">
        <f t="shared" si="15"/>
        <v>0</v>
      </c>
      <c r="P236">
        <v>0.52900000000000003</v>
      </c>
    </row>
    <row r="237" spans="1:16" x14ac:dyDescent="0.2">
      <c r="A237" t="s">
        <v>491</v>
      </c>
      <c r="B237" t="s">
        <v>211</v>
      </c>
      <c r="C237" t="s">
        <v>136</v>
      </c>
      <c r="D237">
        <v>28</v>
      </c>
      <c r="E237">
        <v>327</v>
      </c>
      <c r="F237">
        <v>11709091</v>
      </c>
      <c r="G237" t="s">
        <v>492</v>
      </c>
      <c r="H237">
        <f t="shared" si="12"/>
        <v>1</v>
      </c>
      <c r="I237">
        <v>61</v>
      </c>
      <c r="J237">
        <v>1.9454545454545455</v>
      </c>
      <c r="K237">
        <f t="shared" si="13"/>
        <v>1</v>
      </c>
      <c r="L237">
        <f t="shared" si="14"/>
        <v>0</v>
      </c>
      <c r="M237">
        <v>17</v>
      </c>
      <c r="N237">
        <v>235</v>
      </c>
      <c r="O237">
        <f t="shared" si="15"/>
        <v>0</v>
      </c>
      <c r="P237">
        <v>0.54600000000000004</v>
      </c>
    </row>
    <row r="238" spans="1:16" x14ac:dyDescent="0.2">
      <c r="A238" t="s">
        <v>493</v>
      </c>
      <c r="B238" t="s">
        <v>211</v>
      </c>
      <c r="C238" t="s">
        <v>136</v>
      </c>
      <c r="D238">
        <v>22</v>
      </c>
      <c r="E238">
        <v>1692</v>
      </c>
      <c r="F238">
        <v>9897120</v>
      </c>
      <c r="G238" t="s">
        <v>494</v>
      </c>
      <c r="H238">
        <f t="shared" si="12"/>
        <v>1</v>
      </c>
      <c r="I238">
        <v>75</v>
      </c>
      <c r="J238">
        <v>1.6140350877192982</v>
      </c>
      <c r="K238">
        <f t="shared" si="13"/>
        <v>1</v>
      </c>
      <c r="L238">
        <f t="shared" si="14"/>
        <v>0</v>
      </c>
      <c r="M238">
        <v>31</v>
      </c>
      <c r="N238">
        <v>472</v>
      </c>
      <c r="O238">
        <f t="shared" si="15"/>
        <v>0</v>
      </c>
      <c r="P238">
        <v>0.53</v>
      </c>
    </row>
    <row r="239" spans="1:16" x14ac:dyDescent="0.2">
      <c r="A239" t="s">
        <v>495</v>
      </c>
      <c r="B239" t="s">
        <v>211</v>
      </c>
      <c r="C239" t="s">
        <v>136</v>
      </c>
      <c r="D239">
        <v>25</v>
      </c>
      <c r="E239">
        <v>613</v>
      </c>
      <c r="F239">
        <v>8840580</v>
      </c>
      <c r="G239" t="s">
        <v>496</v>
      </c>
      <c r="H239">
        <f t="shared" si="12"/>
        <v>1</v>
      </c>
      <c r="I239">
        <v>53</v>
      </c>
      <c r="J239">
        <v>2.1749999999999998</v>
      </c>
      <c r="K239">
        <f t="shared" si="13"/>
        <v>1</v>
      </c>
      <c r="L239">
        <f t="shared" si="14"/>
        <v>0</v>
      </c>
      <c r="M239">
        <v>9</v>
      </c>
      <c r="N239">
        <v>201</v>
      </c>
      <c r="O239">
        <f t="shared" si="15"/>
        <v>0</v>
      </c>
      <c r="P239">
        <v>0.45800000000000002</v>
      </c>
    </row>
    <row r="240" spans="1:16" x14ac:dyDescent="0.2">
      <c r="A240" t="s">
        <v>497</v>
      </c>
      <c r="B240" t="s">
        <v>211</v>
      </c>
      <c r="C240" t="s">
        <v>136</v>
      </c>
      <c r="D240">
        <v>23</v>
      </c>
      <c r="E240">
        <v>344</v>
      </c>
      <c r="F240">
        <v>7422000</v>
      </c>
      <c r="G240" t="s">
        <v>498</v>
      </c>
      <c r="H240">
        <f t="shared" si="12"/>
        <v>1</v>
      </c>
      <c r="I240">
        <v>19</v>
      </c>
      <c r="J240">
        <v>1.5172413793103448</v>
      </c>
      <c r="K240">
        <f t="shared" si="13"/>
        <v>1</v>
      </c>
      <c r="L240">
        <f t="shared" si="14"/>
        <v>0</v>
      </c>
      <c r="M240">
        <v>12</v>
      </c>
      <c r="N240">
        <v>110</v>
      </c>
      <c r="O240">
        <f t="shared" si="15"/>
        <v>0</v>
      </c>
      <c r="P240">
        <v>0.54600000000000004</v>
      </c>
    </row>
    <row r="241" spans="1:16" x14ac:dyDescent="0.2">
      <c r="A241" t="s">
        <v>499</v>
      </c>
      <c r="B241" t="s">
        <v>211</v>
      </c>
      <c r="C241" t="s">
        <v>136</v>
      </c>
      <c r="D241">
        <v>29</v>
      </c>
      <c r="E241">
        <v>899</v>
      </c>
      <c r="F241">
        <v>7333333</v>
      </c>
      <c r="G241" t="s">
        <v>500</v>
      </c>
      <c r="H241">
        <f t="shared" si="12"/>
        <v>1</v>
      </c>
      <c r="I241">
        <v>20</v>
      </c>
      <c r="J241">
        <v>1.6037735849056605</v>
      </c>
      <c r="K241">
        <f t="shared" si="13"/>
        <v>1</v>
      </c>
      <c r="L241">
        <f t="shared" si="14"/>
        <v>0</v>
      </c>
      <c r="M241">
        <v>6</v>
      </c>
      <c r="N241">
        <v>221</v>
      </c>
      <c r="O241">
        <f t="shared" si="15"/>
        <v>0</v>
      </c>
      <c r="P241">
        <v>0.61599999999999999</v>
      </c>
    </row>
    <row r="242" spans="1:16" x14ac:dyDescent="0.2">
      <c r="A242" t="s">
        <v>501</v>
      </c>
      <c r="B242" t="s">
        <v>211</v>
      </c>
      <c r="C242" t="s">
        <v>136</v>
      </c>
      <c r="D242">
        <v>19</v>
      </c>
      <c r="E242">
        <v>655</v>
      </c>
      <c r="F242">
        <v>7068360</v>
      </c>
      <c r="G242" t="s">
        <v>502</v>
      </c>
      <c r="H242">
        <f t="shared" si="12"/>
        <v>1</v>
      </c>
      <c r="I242">
        <v>64</v>
      </c>
      <c r="J242">
        <v>1.010204081632653</v>
      </c>
      <c r="K242">
        <f t="shared" si="13"/>
        <v>1</v>
      </c>
      <c r="L242">
        <f t="shared" si="14"/>
        <v>0</v>
      </c>
      <c r="M242">
        <v>46</v>
      </c>
      <c r="N242">
        <v>327</v>
      </c>
      <c r="O242">
        <f t="shared" si="15"/>
        <v>0</v>
      </c>
      <c r="P242">
        <v>0.53400000000000003</v>
      </c>
    </row>
    <row r="243" spans="1:16" x14ac:dyDescent="0.2">
      <c r="A243" t="s">
        <v>503</v>
      </c>
      <c r="B243" t="s">
        <v>211</v>
      </c>
      <c r="C243" t="s">
        <v>136</v>
      </c>
      <c r="D243">
        <v>23</v>
      </c>
      <c r="E243">
        <v>695</v>
      </c>
      <c r="F243">
        <v>6731508</v>
      </c>
      <c r="G243" t="s">
        <v>504</v>
      </c>
      <c r="H243">
        <f t="shared" si="12"/>
        <v>1</v>
      </c>
      <c r="I243">
        <v>26</v>
      </c>
      <c r="J243">
        <v>0.86538461538461542</v>
      </c>
      <c r="K243">
        <f t="shared" si="13"/>
        <v>1</v>
      </c>
      <c r="L243">
        <f t="shared" si="14"/>
        <v>0</v>
      </c>
      <c r="M243">
        <v>15</v>
      </c>
      <c r="N243">
        <v>268</v>
      </c>
      <c r="O243">
        <f t="shared" si="15"/>
        <v>0</v>
      </c>
      <c r="P243">
        <v>0.59399999999999997</v>
      </c>
    </row>
    <row r="244" spans="1:16" x14ac:dyDescent="0.2">
      <c r="A244" t="s">
        <v>505</v>
      </c>
      <c r="B244" t="s">
        <v>211</v>
      </c>
      <c r="C244" t="s">
        <v>136</v>
      </c>
      <c r="D244">
        <v>32</v>
      </c>
      <c r="E244">
        <v>213</v>
      </c>
      <c r="F244">
        <v>5005350</v>
      </c>
      <c r="G244" t="s">
        <v>506</v>
      </c>
      <c r="H244">
        <f t="shared" si="12"/>
        <v>1</v>
      </c>
      <c r="I244">
        <v>24</v>
      </c>
      <c r="J244">
        <v>2.1052631578947367</v>
      </c>
      <c r="K244">
        <f t="shared" si="13"/>
        <v>1</v>
      </c>
      <c r="L244">
        <f t="shared" si="14"/>
        <v>0</v>
      </c>
      <c r="M244">
        <v>14</v>
      </c>
      <c r="N244">
        <v>120</v>
      </c>
      <c r="O244">
        <f t="shared" si="15"/>
        <v>0</v>
      </c>
      <c r="P244">
        <v>0.48599999999999999</v>
      </c>
    </row>
    <row r="245" spans="1:16" x14ac:dyDescent="0.2">
      <c r="A245" t="s">
        <v>507</v>
      </c>
      <c r="B245" t="s">
        <v>211</v>
      </c>
      <c r="C245" t="s">
        <v>136</v>
      </c>
      <c r="D245">
        <v>22</v>
      </c>
      <c r="E245">
        <v>253</v>
      </c>
      <c r="F245">
        <v>4862040</v>
      </c>
      <c r="G245" t="s">
        <v>508</v>
      </c>
      <c r="H245">
        <f t="shared" si="12"/>
        <v>1</v>
      </c>
      <c r="I245">
        <v>17</v>
      </c>
      <c r="J245">
        <v>1.2608695652173914</v>
      </c>
      <c r="K245">
        <f t="shared" si="13"/>
        <v>1</v>
      </c>
      <c r="L245">
        <f t="shared" si="14"/>
        <v>0</v>
      </c>
      <c r="M245">
        <v>15</v>
      </c>
      <c r="N245">
        <v>138</v>
      </c>
      <c r="O245">
        <f t="shared" si="15"/>
        <v>0</v>
      </c>
      <c r="P245">
        <v>0.56000000000000005</v>
      </c>
    </row>
    <row r="246" spans="1:16" x14ac:dyDescent="0.2">
      <c r="A246" t="s">
        <v>509</v>
      </c>
      <c r="B246" t="s">
        <v>211</v>
      </c>
      <c r="C246" t="s">
        <v>136</v>
      </c>
      <c r="D246">
        <v>22</v>
      </c>
      <c r="E246">
        <v>789</v>
      </c>
      <c r="F246">
        <v>4692840</v>
      </c>
      <c r="G246" t="s">
        <v>510</v>
      </c>
      <c r="H246">
        <f t="shared" si="12"/>
        <v>1</v>
      </c>
      <c r="I246">
        <v>44</v>
      </c>
      <c r="J246">
        <v>1.2058823529411764</v>
      </c>
      <c r="K246">
        <f t="shared" si="13"/>
        <v>1</v>
      </c>
      <c r="L246">
        <f t="shared" si="14"/>
        <v>0</v>
      </c>
      <c r="M246">
        <v>7</v>
      </c>
      <c r="N246">
        <v>312</v>
      </c>
      <c r="O246">
        <f t="shared" si="15"/>
        <v>0</v>
      </c>
      <c r="P246">
        <v>0.51300000000000001</v>
      </c>
    </row>
    <row r="247" spans="1:16" x14ac:dyDescent="0.2">
      <c r="A247" t="s">
        <v>511</v>
      </c>
      <c r="B247" t="s">
        <v>211</v>
      </c>
      <c r="C247" t="s">
        <v>136</v>
      </c>
      <c r="D247">
        <v>21</v>
      </c>
      <c r="E247">
        <v>163</v>
      </c>
      <c r="F247">
        <v>4588680</v>
      </c>
      <c r="G247" t="s">
        <v>512</v>
      </c>
      <c r="H247">
        <f t="shared" si="12"/>
        <v>1</v>
      </c>
      <c r="I247">
        <v>12</v>
      </c>
      <c r="J247">
        <v>1.1176470588235294</v>
      </c>
      <c r="K247">
        <f t="shared" si="13"/>
        <v>1</v>
      </c>
      <c r="L247">
        <f t="shared" si="14"/>
        <v>0</v>
      </c>
      <c r="M247">
        <v>6</v>
      </c>
      <c r="N247">
        <v>61</v>
      </c>
      <c r="O247">
        <f t="shared" si="15"/>
        <v>0</v>
      </c>
      <c r="P247">
        <v>0.51400000000000001</v>
      </c>
    </row>
    <row r="248" spans="1:16" x14ac:dyDescent="0.2">
      <c r="A248" t="s">
        <v>513</v>
      </c>
      <c r="B248" t="s">
        <v>211</v>
      </c>
      <c r="C248" t="s">
        <v>136</v>
      </c>
      <c r="D248">
        <v>20</v>
      </c>
      <c r="E248">
        <v>342</v>
      </c>
      <c r="F248">
        <v>4469160</v>
      </c>
      <c r="G248" t="s">
        <v>514</v>
      </c>
      <c r="H248">
        <f t="shared" si="12"/>
        <v>1</v>
      </c>
      <c r="I248">
        <v>32</v>
      </c>
      <c r="J248">
        <v>1.9090909090909092</v>
      </c>
      <c r="K248">
        <f t="shared" si="13"/>
        <v>1</v>
      </c>
      <c r="L248">
        <f t="shared" si="14"/>
        <v>0</v>
      </c>
      <c r="M248">
        <v>15</v>
      </c>
      <c r="N248">
        <v>262</v>
      </c>
      <c r="O248">
        <f t="shared" si="15"/>
        <v>0</v>
      </c>
      <c r="P248">
        <v>0.502</v>
      </c>
    </row>
    <row r="249" spans="1:16" x14ac:dyDescent="0.2">
      <c r="A249" t="s">
        <v>515</v>
      </c>
      <c r="B249" t="s">
        <v>211</v>
      </c>
      <c r="C249" t="s">
        <v>136</v>
      </c>
      <c r="D249">
        <v>21</v>
      </c>
      <c r="E249">
        <v>292</v>
      </c>
      <c r="F249">
        <v>4458000</v>
      </c>
      <c r="G249" t="s">
        <v>516</v>
      </c>
      <c r="H249">
        <f t="shared" si="12"/>
        <v>1</v>
      </c>
      <c r="I249">
        <v>33</v>
      </c>
      <c r="J249">
        <v>1.0294117647058822</v>
      </c>
      <c r="K249">
        <f t="shared" si="13"/>
        <v>1</v>
      </c>
      <c r="L249">
        <f t="shared" si="14"/>
        <v>0</v>
      </c>
      <c r="M249">
        <v>9</v>
      </c>
      <c r="N249">
        <v>104</v>
      </c>
      <c r="O249">
        <f t="shared" si="15"/>
        <v>0</v>
      </c>
      <c r="P249">
        <v>0.42799999999999999</v>
      </c>
    </row>
    <row r="250" spans="1:16" x14ac:dyDescent="0.2">
      <c r="A250" t="s">
        <v>517</v>
      </c>
      <c r="B250" t="s">
        <v>211</v>
      </c>
      <c r="C250" t="s">
        <v>136</v>
      </c>
      <c r="D250">
        <v>29</v>
      </c>
      <c r="E250">
        <v>709</v>
      </c>
      <c r="F250">
        <v>4200000</v>
      </c>
      <c r="G250" t="s">
        <v>518</v>
      </c>
      <c r="H250">
        <f t="shared" si="12"/>
        <v>1</v>
      </c>
      <c r="I250">
        <v>52</v>
      </c>
      <c r="J250">
        <v>2.2000000000000002</v>
      </c>
      <c r="K250">
        <f t="shared" si="13"/>
        <v>1</v>
      </c>
      <c r="L250">
        <f t="shared" si="14"/>
        <v>0</v>
      </c>
      <c r="M250">
        <v>11</v>
      </c>
      <c r="N250">
        <v>223</v>
      </c>
      <c r="O250">
        <f t="shared" si="15"/>
        <v>0</v>
      </c>
      <c r="P250">
        <v>0.58699999999999997</v>
      </c>
    </row>
    <row r="251" spans="1:16" x14ac:dyDescent="0.2">
      <c r="A251" t="s">
        <v>519</v>
      </c>
      <c r="B251" t="s">
        <v>211</v>
      </c>
      <c r="C251" t="s">
        <v>136</v>
      </c>
      <c r="D251">
        <v>23</v>
      </c>
      <c r="E251">
        <v>1111</v>
      </c>
      <c r="F251">
        <v>4137302</v>
      </c>
      <c r="G251" t="s">
        <v>520</v>
      </c>
      <c r="H251">
        <f t="shared" si="12"/>
        <v>1</v>
      </c>
      <c r="I251">
        <v>34</v>
      </c>
      <c r="J251">
        <v>0.9285714285714286</v>
      </c>
      <c r="K251">
        <f t="shared" si="13"/>
        <v>1</v>
      </c>
      <c r="L251">
        <f t="shared" si="14"/>
        <v>0</v>
      </c>
      <c r="M251">
        <v>63</v>
      </c>
      <c r="N251">
        <v>467</v>
      </c>
      <c r="O251">
        <f t="shared" si="15"/>
        <v>0</v>
      </c>
      <c r="P251">
        <v>0.61</v>
      </c>
    </row>
    <row r="252" spans="1:16" x14ac:dyDescent="0.2">
      <c r="A252" t="s">
        <v>521</v>
      </c>
      <c r="B252" t="s">
        <v>211</v>
      </c>
      <c r="C252" t="s">
        <v>136</v>
      </c>
      <c r="D252">
        <v>22</v>
      </c>
      <c r="E252">
        <v>824</v>
      </c>
      <c r="F252">
        <v>4023600</v>
      </c>
      <c r="G252" t="s">
        <v>522</v>
      </c>
      <c r="H252">
        <f t="shared" si="12"/>
        <v>1</v>
      </c>
      <c r="I252">
        <v>69</v>
      </c>
      <c r="J252">
        <v>1.2578125</v>
      </c>
      <c r="K252">
        <f t="shared" si="13"/>
        <v>1</v>
      </c>
      <c r="L252">
        <f t="shared" si="14"/>
        <v>0</v>
      </c>
      <c r="M252">
        <v>79</v>
      </c>
      <c r="N252">
        <v>418</v>
      </c>
      <c r="O252">
        <f t="shared" si="15"/>
        <v>0</v>
      </c>
      <c r="P252">
        <v>0.52200000000000002</v>
      </c>
    </row>
    <row r="253" spans="1:16" x14ac:dyDescent="0.2">
      <c r="A253" t="s">
        <v>523</v>
      </c>
      <c r="B253" t="s">
        <v>211</v>
      </c>
      <c r="C253" t="s">
        <v>136</v>
      </c>
      <c r="D253">
        <v>25</v>
      </c>
      <c r="E253">
        <v>5</v>
      </c>
      <c r="F253">
        <v>4000000</v>
      </c>
      <c r="G253" t="s">
        <v>524</v>
      </c>
      <c r="H253">
        <f t="shared" si="12"/>
        <v>1</v>
      </c>
      <c r="I253">
        <v>2</v>
      </c>
      <c r="J253">
        <v>0</v>
      </c>
      <c r="K253">
        <f t="shared" si="13"/>
        <v>1</v>
      </c>
      <c r="L253">
        <f t="shared" si="14"/>
        <v>0</v>
      </c>
      <c r="M253">
        <v>0</v>
      </c>
      <c r="N253">
        <v>3</v>
      </c>
      <c r="O253">
        <f t="shared" si="15"/>
        <v>0</v>
      </c>
      <c r="P253">
        <v>1</v>
      </c>
    </row>
    <row r="254" spans="1:16" x14ac:dyDescent="0.2">
      <c r="A254" t="s">
        <v>525</v>
      </c>
      <c r="B254" t="s">
        <v>211</v>
      </c>
      <c r="C254" t="s">
        <v>136</v>
      </c>
      <c r="D254">
        <v>22</v>
      </c>
      <c r="E254">
        <v>840</v>
      </c>
      <c r="F254">
        <v>3934320</v>
      </c>
      <c r="G254" t="s">
        <v>526</v>
      </c>
      <c r="H254">
        <f t="shared" si="12"/>
        <v>1</v>
      </c>
      <c r="I254">
        <v>44</v>
      </c>
      <c r="J254">
        <v>1.3867924528301887</v>
      </c>
      <c r="K254">
        <f t="shared" si="13"/>
        <v>1</v>
      </c>
      <c r="L254">
        <f t="shared" si="14"/>
        <v>0</v>
      </c>
      <c r="M254">
        <v>52</v>
      </c>
      <c r="N254">
        <v>397</v>
      </c>
      <c r="O254">
        <f t="shared" si="15"/>
        <v>0</v>
      </c>
      <c r="P254">
        <v>0.59599999999999997</v>
      </c>
    </row>
    <row r="255" spans="1:16" x14ac:dyDescent="0.2">
      <c r="A255" t="s">
        <v>527</v>
      </c>
      <c r="B255" t="s">
        <v>211</v>
      </c>
      <c r="C255" t="s">
        <v>136</v>
      </c>
      <c r="D255">
        <v>23</v>
      </c>
      <c r="E255">
        <v>682</v>
      </c>
      <c r="F255">
        <v>3872215</v>
      </c>
      <c r="G255" t="s">
        <v>528</v>
      </c>
      <c r="H255">
        <f t="shared" si="12"/>
        <v>1</v>
      </c>
      <c r="I255">
        <v>66</v>
      </c>
      <c r="J255">
        <v>1.2533333333333334</v>
      </c>
      <c r="K255">
        <f t="shared" si="13"/>
        <v>1</v>
      </c>
      <c r="L255">
        <f t="shared" si="14"/>
        <v>0</v>
      </c>
      <c r="M255">
        <v>32</v>
      </c>
      <c r="N255">
        <v>237</v>
      </c>
      <c r="O255">
        <f t="shared" si="15"/>
        <v>0</v>
      </c>
      <c r="P255">
        <v>0.57999999999999996</v>
      </c>
    </row>
    <row r="256" spans="1:16" x14ac:dyDescent="0.2">
      <c r="A256" t="s">
        <v>529</v>
      </c>
      <c r="B256" t="s">
        <v>211</v>
      </c>
      <c r="C256" t="s">
        <v>136</v>
      </c>
      <c r="D256">
        <v>24</v>
      </c>
      <c r="E256">
        <v>267</v>
      </c>
      <c r="F256">
        <v>3804150</v>
      </c>
      <c r="G256" t="s">
        <v>530</v>
      </c>
      <c r="H256">
        <f t="shared" si="12"/>
        <v>1</v>
      </c>
      <c r="I256">
        <v>52</v>
      </c>
      <c r="J256">
        <v>1.6481481481481481</v>
      </c>
      <c r="K256">
        <f t="shared" si="13"/>
        <v>1</v>
      </c>
      <c r="L256">
        <f t="shared" si="14"/>
        <v>0</v>
      </c>
      <c r="M256">
        <v>18</v>
      </c>
      <c r="N256">
        <v>153</v>
      </c>
      <c r="O256">
        <f t="shared" si="15"/>
        <v>0</v>
      </c>
      <c r="P256">
        <v>0.47899999999999998</v>
      </c>
    </row>
    <row r="257" spans="1:16" x14ac:dyDescent="0.2">
      <c r="A257" t="s">
        <v>531</v>
      </c>
      <c r="B257" t="s">
        <v>211</v>
      </c>
      <c r="C257" t="s">
        <v>136</v>
      </c>
      <c r="D257">
        <v>21</v>
      </c>
      <c r="E257">
        <v>218</v>
      </c>
      <c r="F257">
        <v>3458400</v>
      </c>
      <c r="G257" t="s">
        <v>532</v>
      </c>
      <c r="H257">
        <f t="shared" si="12"/>
        <v>1</v>
      </c>
      <c r="I257">
        <v>15</v>
      </c>
      <c r="J257">
        <v>1</v>
      </c>
      <c r="K257">
        <f t="shared" si="13"/>
        <v>1</v>
      </c>
      <c r="L257">
        <f t="shared" si="14"/>
        <v>0</v>
      </c>
      <c r="M257">
        <v>9</v>
      </c>
      <c r="N257">
        <v>127</v>
      </c>
      <c r="O257">
        <f t="shared" si="15"/>
        <v>0</v>
      </c>
      <c r="P257">
        <v>0.55100000000000005</v>
      </c>
    </row>
    <row r="258" spans="1:16" x14ac:dyDescent="0.2">
      <c r="A258" t="s">
        <v>533</v>
      </c>
      <c r="B258" t="s">
        <v>211</v>
      </c>
      <c r="C258" t="s">
        <v>136</v>
      </c>
      <c r="D258">
        <v>20</v>
      </c>
      <c r="E258">
        <v>285</v>
      </c>
      <c r="F258">
        <v>3449400</v>
      </c>
      <c r="G258" t="s">
        <v>534</v>
      </c>
      <c r="H258">
        <f t="shared" ref="H258:H321" si="16">IF(B258="Forward", 1, 0)</f>
        <v>1</v>
      </c>
      <c r="I258">
        <v>24</v>
      </c>
      <c r="J258">
        <v>1.0681818181818181</v>
      </c>
      <c r="K258">
        <f t="shared" ref="K258:K321" si="17">IF(C258="East", 1, 0)</f>
        <v>1</v>
      </c>
      <c r="L258">
        <f t="shared" ref="L258:L321" si="18">IF(C258="West", 1, 0)</f>
        <v>0</v>
      </c>
      <c r="M258">
        <v>9</v>
      </c>
      <c r="N258">
        <v>143</v>
      </c>
      <c r="O258">
        <f t="shared" ref="O258:O321" si="19">IF($B258="Guard", 1, 0)</f>
        <v>0</v>
      </c>
      <c r="P258">
        <v>0.42599999999999999</v>
      </c>
    </row>
    <row r="259" spans="1:16" x14ac:dyDescent="0.2">
      <c r="A259" t="s">
        <v>535</v>
      </c>
      <c r="B259" t="s">
        <v>211</v>
      </c>
      <c r="C259" t="s">
        <v>136</v>
      </c>
      <c r="D259">
        <v>30</v>
      </c>
      <c r="E259">
        <v>345</v>
      </c>
      <c r="F259">
        <v>3300000</v>
      </c>
      <c r="G259" t="s">
        <v>536</v>
      </c>
      <c r="H259">
        <f t="shared" si="16"/>
        <v>1</v>
      </c>
      <c r="I259">
        <v>32</v>
      </c>
      <c r="J259">
        <v>1.7222222222222223</v>
      </c>
      <c r="K259">
        <f t="shared" si="17"/>
        <v>1</v>
      </c>
      <c r="L259">
        <f t="shared" si="18"/>
        <v>0</v>
      </c>
      <c r="M259">
        <v>7</v>
      </c>
      <c r="N259">
        <v>166</v>
      </c>
      <c r="O259">
        <f t="shared" si="19"/>
        <v>0</v>
      </c>
      <c r="P259">
        <v>0.56599999999999995</v>
      </c>
    </row>
    <row r="260" spans="1:16" x14ac:dyDescent="0.2">
      <c r="A260" t="s">
        <v>537</v>
      </c>
      <c r="B260" t="s">
        <v>211</v>
      </c>
      <c r="C260" t="s">
        <v>136</v>
      </c>
      <c r="D260">
        <v>22</v>
      </c>
      <c r="E260">
        <v>349</v>
      </c>
      <c r="F260">
        <v>3121080</v>
      </c>
      <c r="G260" t="s">
        <v>538</v>
      </c>
      <c r="H260">
        <f t="shared" si="16"/>
        <v>1</v>
      </c>
      <c r="I260">
        <v>48</v>
      </c>
      <c r="J260">
        <v>2.6578947368421053</v>
      </c>
      <c r="K260">
        <f t="shared" si="17"/>
        <v>1</v>
      </c>
      <c r="L260">
        <f t="shared" si="18"/>
        <v>0</v>
      </c>
      <c r="M260">
        <v>22</v>
      </c>
      <c r="N260">
        <v>181</v>
      </c>
      <c r="O260">
        <f t="shared" si="19"/>
        <v>0</v>
      </c>
      <c r="P260">
        <v>0.49199999999999999</v>
      </c>
    </row>
    <row r="261" spans="1:16" x14ac:dyDescent="0.2">
      <c r="A261" t="s">
        <v>539</v>
      </c>
      <c r="B261" t="s">
        <v>211</v>
      </c>
      <c r="C261" t="s">
        <v>136</v>
      </c>
      <c r="D261">
        <v>21</v>
      </c>
      <c r="E261">
        <v>857</v>
      </c>
      <c r="F261">
        <v>2689920</v>
      </c>
      <c r="G261" t="s">
        <v>540</v>
      </c>
      <c r="H261">
        <f t="shared" si="16"/>
        <v>1</v>
      </c>
      <c r="I261">
        <v>52</v>
      </c>
      <c r="J261">
        <v>1.5833333333333333</v>
      </c>
      <c r="K261">
        <f t="shared" si="17"/>
        <v>1</v>
      </c>
      <c r="L261">
        <f t="shared" si="18"/>
        <v>0</v>
      </c>
      <c r="M261">
        <v>14</v>
      </c>
      <c r="N261">
        <v>318</v>
      </c>
      <c r="O261">
        <f t="shared" si="19"/>
        <v>0</v>
      </c>
      <c r="P261">
        <v>0.53</v>
      </c>
    </row>
    <row r="262" spans="1:16" x14ac:dyDescent="0.2">
      <c r="A262" t="s">
        <v>541</v>
      </c>
      <c r="B262" t="s">
        <v>211</v>
      </c>
      <c r="C262" t="s">
        <v>136</v>
      </c>
      <c r="D262">
        <v>21</v>
      </c>
      <c r="E262">
        <v>304</v>
      </c>
      <c r="F262">
        <v>2582160</v>
      </c>
      <c r="G262" t="s">
        <v>542</v>
      </c>
      <c r="H262">
        <f t="shared" si="16"/>
        <v>1</v>
      </c>
      <c r="I262">
        <v>20</v>
      </c>
      <c r="J262">
        <v>0.67441860465116277</v>
      </c>
      <c r="K262">
        <f t="shared" si="17"/>
        <v>1</v>
      </c>
      <c r="L262">
        <f t="shared" si="18"/>
        <v>0</v>
      </c>
      <c r="M262">
        <v>28</v>
      </c>
      <c r="N262">
        <v>208</v>
      </c>
      <c r="O262">
        <f t="shared" si="19"/>
        <v>0</v>
      </c>
      <c r="P262">
        <v>0.54400000000000004</v>
      </c>
    </row>
    <row r="263" spans="1:16" x14ac:dyDescent="0.2">
      <c r="A263" t="s">
        <v>543</v>
      </c>
      <c r="B263" t="s">
        <v>211</v>
      </c>
      <c r="C263" t="s">
        <v>136</v>
      </c>
      <c r="D263">
        <v>22</v>
      </c>
      <c r="E263">
        <v>294</v>
      </c>
      <c r="F263">
        <v>2498760</v>
      </c>
      <c r="G263" t="s">
        <v>544</v>
      </c>
      <c r="H263">
        <f t="shared" si="16"/>
        <v>1</v>
      </c>
      <c r="I263">
        <v>32</v>
      </c>
      <c r="J263">
        <v>1.1428571428571428</v>
      </c>
      <c r="K263">
        <f t="shared" si="17"/>
        <v>1</v>
      </c>
      <c r="L263">
        <f t="shared" si="18"/>
        <v>0</v>
      </c>
      <c r="M263">
        <v>24</v>
      </c>
      <c r="N263">
        <v>178</v>
      </c>
      <c r="O263">
        <f t="shared" si="19"/>
        <v>0</v>
      </c>
      <c r="P263">
        <v>0.53400000000000003</v>
      </c>
    </row>
    <row r="264" spans="1:16" x14ac:dyDescent="0.2">
      <c r="A264" t="s">
        <v>545</v>
      </c>
      <c r="B264" t="s">
        <v>211</v>
      </c>
      <c r="C264" t="s">
        <v>136</v>
      </c>
      <c r="D264">
        <v>24</v>
      </c>
      <c r="E264">
        <v>161</v>
      </c>
      <c r="F264">
        <v>2137440</v>
      </c>
      <c r="G264" t="s">
        <v>546</v>
      </c>
      <c r="H264">
        <f t="shared" si="16"/>
        <v>1</v>
      </c>
      <c r="I264">
        <v>19</v>
      </c>
      <c r="J264">
        <v>1.03125</v>
      </c>
      <c r="K264">
        <f t="shared" si="17"/>
        <v>1</v>
      </c>
      <c r="L264">
        <f t="shared" si="18"/>
        <v>0</v>
      </c>
      <c r="M264">
        <v>12</v>
      </c>
      <c r="N264">
        <v>107</v>
      </c>
      <c r="O264">
        <f t="shared" si="19"/>
        <v>0</v>
      </c>
      <c r="P264">
        <v>0.53800000000000003</v>
      </c>
    </row>
    <row r="265" spans="1:16" x14ac:dyDescent="0.2">
      <c r="A265" t="s">
        <v>547</v>
      </c>
      <c r="B265" t="s">
        <v>211</v>
      </c>
      <c r="C265" t="s">
        <v>136</v>
      </c>
      <c r="D265">
        <v>26</v>
      </c>
      <c r="E265">
        <v>260</v>
      </c>
      <c r="F265">
        <v>1752950</v>
      </c>
      <c r="G265" t="s">
        <v>548</v>
      </c>
      <c r="H265">
        <f t="shared" si="16"/>
        <v>1</v>
      </c>
      <c r="I265">
        <v>17</v>
      </c>
      <c r="J265">
        <v>1.7619047619047619</v>
      </c>
      <c r="K265">
        <f t="shared" si="17"/>
        <v>1</v>
      </c>
      <c r="L265">
        <f t="shared" si="18"/>
        <v>0</v>
      </c>
      <c r="M265">
        <v>0</v>
      </c>
      <c r="N265">
        <v>147</v>
      </c>
      <c r="O265">
        <f t="shared" si="19"/>
        <v>0</v>
      </c>
      <c r="P265">
        <v>0.53400000000000003</v>
      </c>
    </row>
    <row r="266" spans="1:16" x14ac:dyDescent="0.2">
      <c r="A266" t="s">
        <v>549</v>
      </c>
      <c r="B266" t="s">
        <v>211</v>
      </c>
      <c r="C266" t="s">
        <v>136</v>
      </c>
      <c r="D266">
        <v>26</v>
      </c>
      <c r="E266">
        <v>293</v>
      </c>
      <c r="F266">
        <v>1737145</v>
      </c>
      <c r="G266" t="s">
        <v>550</v>
      </c>
      <c r="H266">
        <f t="shared" si="16"/>
        <v>1</v>
      </c>
      <c r="I266">
        <v>53</v>
      </c>
      <c r="J266">
        <v>1.5070422535211268</v>
      </c>
      <c r="K266">
        <f t="shared" si="17"/>
        <v>1</v>
      </c>
      <c r="L266">
        <f t="shared" si="18"/>
        <v>0</v>
      </c>
      <c r="M266">
        <v>18</v>
      </c>
      <c r="N266">
        <v>146</v>
      </c>
      <c r="O266">
        <f t="shared" si="19"/>
        <v>0</v>
      </c>
      <c r="P266">
        <v>0.54400000000000004</v>
      </c>
    </row>
    <row r="267" spans="1:16" x14ac:dyDescent="0.2">
      <c r="A267" t="s">
        <v>551</v>
      </c>
      <c r="B267" t="s">
        <v>211</v>
      </c>
      <c r="C267" t="s">
        <v>136</v>
      </c>
      <c r="D267">
        <v>28</v>
      </c>
      <c r="E267">
        <v>166</v>
      </c>
      <c r="F267">
        <v>1701593</v>
      </c>
      <c r="G267" t="s">
        <v>552</v>
      </c>
      <c r="H267">
        <f t="shared" si="16"/>
        <v>1</v>
      </c>
      <c r="I267">
        <v>22</v>
      </c>
      <c r="J267">
        <v>1.069767441860465</v>
      </c>
      <c r="K267">
        <f t="shared" si="17"/>
        <v>1</v>
      </c>
      <c r="L267">
        <f t="shared" si="18"/>
        <v>0</v>
      </c>
      <c r="M267">
        <v>10</v>
      </c>
      <c r="N267">
        <v>124</v>
      </c>
      <c r="O267">
        <f t="shared" si="19"/>
        <v>0</v>
      </c>
      <c r="P267">
        <v>0.51500000000000001</v>
      </c>
    </row>
    <row r="268" spans="1:16" x14ac:dyDescent="0.2">
      <c r="A268" t="s">
        <v>553</v>
      </c>
      <c r="B268" t="s">
        <v>211</v>
      </c>
      <c r="C268" t="s">
        <v>136</v>
      </c>
      <c r="D268">
        <v>21</v>
      </c>
      <c r="E268">
        <v>78</v>
      </c>
      <c r="F268">
        <v>1663861</v>
      </c>
      <c r="G268" t="s">
        <v>554</v>
      </c>
      <c r="H268">
        <f t="shared" si="16"/>
        <v>1</v>
      </c>
      <c r="I268">
        <v>11</v>
      </c>
      <c r="J268">
        <v>1.0454545454545454</v>
      </c>
      <c r="K268">
        <f t="shared" si="17"/>
        <v>1</v>
      </c>
      <c r="L268">
        <f t="shared" si="18"/>
        <v>0</v>
      </c>
      <c r="M268">
        <v>9</v>
      </c>
      <c r="N268">
        <v>66</v>
      </c>
      <c r="O268">
        <f t="shared" si="19"/>
        <v>0</v>
      </c>
      <c r="P268">
        <v>0.45100000000000001</v>
      </c>
    </row>
    <row r="269" spans="1:16" x14ac:dyDescent="0.2">
      <c r="A269" t="s">
        <v>555</v>
      </c>
      <c r="B269" t="s">
        <v>211</v>
      </c>
      <c r="C269" t="s">
        <v>136</v>
      </c>
      <c r="D269">
        <v>26</v>
      </c>
      <c r="E269">
        <v>942</v>
      </c>
      <c r="F269">
        <v>1663861</v>
      </c>
      <c r="G269" t="s">
        <v>556</v>
      </c>
      <c r="H269">
        <f t="shared" si="16"/>
        <v>1</v>
      </c>
      <c r="I269">
        <v>43</v>
      </c>
      <c r="J269">
        <v>1.5679012345679013</v>
      </c>
      <c r="K269">
        <f t="shared" si="17"/>
        <v>1</v>
      </c>
      <c r="L269">
        <f t="shared" si="18"/>
        <v>0</v>
      </c>
      <c r="M269">
        <v>20</v>
      </c>
      <c r="N269">
        <v>250</v>
      </c>
      <c r="O269">
        <f t="shared" si="19"/>
        <v>0</v>
      </c>
      <c r="P269">
        <v>0.61399999999999999</v>
      </c>
    </row>
    <row r="270" spans="1:16" x14ac:dyDescent="0.2">
      <c r="A270" t="s">
        <v>557</v>
      </c>
      <c r="B270" t="s">
        <v>211</v>
      </c>
      <c r="C270" t="s">
        <v>136</v>
      </c>
      <c r="D270">
        <v>27</v>
      </c>
      <c r="E270">
        <v>134</v>
      </c>
      <c r="F270">
        <v>1620564</v>
      </c>
      <c r="G270" t="s">
        <v>558</v>
      </c>
      <c r="H270">
        <f t="shared" si="16"/>
        <v>1</v>
      </c>
      <c r="I270">
        <v>2</v>
      </c>
      <c r="J270">
        <v>0.26666666666666666</v>
      </c>
      <c r="K270">
        <f t="shared" si="17"/>
        <v>1</v>
      </c>
      <c r="L270">
        <f t="shared" si="18"/>
        <v>0</v>
      </c>
      <c r="M270">
        <v>14</v>
      </c>
      <c r="N270">
        <v>77</v>
      </c>
      <c r="O270">
        <f t="shared" si="19"/>
        <v>0</v>
      </c>
      <c r="P270">
        <v>0.50900000000000001</v>
      </c>
    </row>
    <row r="271" spans="1:16" x14ac:dyDescent="0.2">
      <c r="A271" t="s">
        <v>559</v>
      </c>
      <c r="B271" t="s">
        <v>211</v>
      </c>
      <c r="C271" t="s">
        <v>136</v>
      </c>
      <c r="D271">
        <v>29</v>
      </c>
      <c r="E271">
        <v>317</v>
      </c>
      <c r="F271">
        <v>1620564</v>
      </c>
      <c r="G271" t="s">
        <v>560</v>
      </c>
      <c r="H271">
        <f t="shared" si="16"/>
        <v>1</v>
      </c>
      <c r="I271">
        <v>50</v>
      </c>
      <c r="J271">
        <v>1.7857142857142858</v>
      </c>
      <c r="K271">
        <f t="shared" si="17"/>
        <v>1</v>
      </c>
      <c r="L271">
        <f t="shared" si="18"/>
        <v>0</v>
      </c>
      <c r="M271">
        <v>11</v>
      </c>
      <c r="N271">
        <v>214</v>
      </c>
      <c r="O271">
        <f t="shared" si="19"/>
        <v>0</v>
      </c>
      <c r="P271">
        <v>0.47299999999999998</v>
      </c>
    </row>
    <row r="272" spans="1:16" x14ac:dyDescent="0.2">
      <c r="A272" t="s">
        <v>561</v>
      </c>
      <c r="B272" t="s">
        <v>211</v>
      </c>
      <c r="C272" t="s">
        <v>136</v>
      </c>
      <c r="D272">
        <v>34</v>
      </c>
      <c r="E272">
        <v>750</v>
      </c>
      <c r="F272">
        <v>1620564</v>
      </c>
      <c r="G272" t="s">
        <v>562</v>
      </c>
      <c r="H272">
        <f t="shared" si="16"/>
        <v>1</v>
      </c>
      <c r="I272">
        <v>36</v>
      </c>
      <c r="J272">
        <v>2</v>
      </c>
      <c r="K272">
        <f t="shared" si="17"/>
        <v>1</v>
      </c>
      <c r="L272">
        <f t="shared" si="18"/>
        <v>0</v>
      </c>
      <c r="M272">
        <v>27</v>
      </c>
      <c r="N272">
        <v>263</v>
      </c>
      <c r="O272">
        <f t="shared" si="19"/>
        <v>0</v>
      </c>
      <c r="P272">
        <v>0.59</v>
      </c>
    </row>
    <row r="273" spans="1:16" x14ac:dyDescent="0.2">
      <c r="A273" t="s">
        <v>563</v>
      </c>
      <c r="B273" t="s">
        <v>211</v>
      </c>
      <c r="C273" t="s">
        <v>136</v>
      </c>
      <c r="D273">
        <v>21</v>
      </c>
      <c r="E273">
        <v>92</v>
      </c>
      <c r="F273">
        <v>1517981</v>
      </c>
      <c r="G273" t="s">
        <v>564</v>
      </c>
      <c r="H273">
        <f t="shared" si="16"/>
        <v>1</v>
      </c>
      <c r="I273">
        <v>10</v>
      </c>
      <c r="J273">
        <v>1.2666666666666666</v>
      </c>
      <c r="K273">
        <f t="shared" si="17"/>
        <v>1</v>
      </c>
      <c r="L273">
        <f t="shared" si="18"/>
        <v>0</v>
      </c>
      <c r="M273">
        <v>11</v>
      </c>
      <c r="N273">
        <v>68</v>
      </c>
      <c r="O273">
        <f t="shared" si="19"/>
        <v>0</v>
      </c>
      <c r="P273">
        <v>0.438</v>
      </c>
    </row>
    <row r="274" spans="1:16" x14ac:dyDescent="0.2">
      <c r="A274" t="s">
        <v>565</v>
      </c>
      <c r="B274" t="s">
        <v>211</v>
      </c>
      <c r="C274" t="s">
        <v>136</v>
      </c>
      <c r="D274">
        <v>24</v>
      </c>
      <c r="E274">
        <v>376</v>
      </c>
      <c r="F274">
        <v>1517981</v>
      </c>
      <c r="G274" t="s">
        <v>566</v>
      </c>
      <c r="H274">
        <f t="shared" si="16"/>
        <v>1</v>
      </c>
      <c r="I274">
        <v>35</v>
      </c>
      <c r="J274">
        <v>2.4666666666666668</v>
      </c>
      <c r="K274">
        <f t="shared" si="17"/>
        <v>1</v>
      </c>
      <c r="L274">
        <f t="shared" si="18"/>
        <v>0</v>
      </c>
      <c r="M274">
        <v>21</v>
      </c>
      <c r="N274">
        <v>215</v>
      </c>
      <c r="O274">
        <f t="shared" si="19"/>
        <v>0</v>
      </c>
      <c r="P274">
        <v>0.55600000000000005</v>
      </c>
    </row>
    <row r="275" spans="1:16" x14ac:dyDescent="0.2">
      <c r="A275" t="s">
        <v>567</v>
      </c>
      <c r="B275" t="s">
        <v>211</v>
      </c>
      <c r="C275" t="s">
        <v>136</v>
      </c>
      <c r="D275">
        <v>25</v>
      </c>
      <c r="E275">
        <v>264</v>
      </c>
      <c r="F275">
        <v>1517981</v>
      </c>
      <c r="G275" t="s">
        <v>568</v>
      </c>
      <c r="H275">
        <f t="shared" si="16"/>
        <v>1</v>
      </c>
      <c r="I275">
        <v>37</v>
      </c>
      <c r="J275">
        <v>2.0303030303030303</v>
      </c>
      <c r="K275">
        <f t="shared" si="17"/>
        <v>1</v>
      </c>
      <c r="L275">
        <f t="shared" si="18"/>
        <v>0</v>
      </c>
      <c r="M275">
        <v>12</v>
      </c>
      <c r="N275">
        <v>141</v>
      </c>
      <c r="O275">
        <f t="shared" si="19"/>
        <v>0</v>
      </c>
      <c r="P275">
        <v>0.436</v>
      </c>
    </row>
    <row r="276" spans="1:16" x14ac:dyDescent="0.2">
      <c r="A276" t="s">
        <v>569</v>
      </c>
      <c r="B276" t="s">
        <v>211</v>
      </c>
      <c r="C276" t="s">
        <v>136</v>
      </c>
      <c r="D276">
        <v>25</v>
      </c>
      <c r="E276">
        <v>207</v>
      </c>
      <c r="F276">
        <v>1517981</v>
      </c>
      <c r="G276" t="s">
        <v>570</v>
      </c>
      <c r="H276">
        <f t="shared" si="16"/>
        <v>1</v>
      </c>
      <c r="I276">
        <v>37</v>
      </c>
      <c r="J276">
        <v>2.15</v>
      </c>
      <c r="K276">
        <f t="shared" si="17"/>
        <v>1</v>
      </c>
      <c r="L276">
        <f t="shared" si="18"/>
        <v>0</v>
      </c>
      <c r="M276">
        <v>12</v>
      </c>
      <c r="N276">
        <v>161</v>
      </c>
      <c r="O276">
        <f t="shared" si="19"/>
        <v>0</v>
      </c>
      <c r="P276">
        <v>0.48399999999999999</v>
      </c>
    </row>
    <row r="277" spans="1:16" x14ac:dyDescent="0.2">
      <c r="A277" t="s">
        <v>571</v>
      </c>
      <c r="B277" t="s">
        <v>211</v>
      </c>
      <c r="C277" t="s">
        <v>136</v>
      </c>
      <c r="D277">
        <v>23</v>
      </c>
      <c r="E277">
        <v>346</v>
      </c>
      <c r="F277">
        <v>1517981</v>
      </c>
      <c r="G277" t="s">
        <v>572</v>
      </c>
      <c r="H277">
        <f t="shared" si="16"/>
        <v>1</v>
      </c>
      <c r="I277">
        <v>28</v>
      </c>
      <c r="J277">
        <v>1.1777777777777778</v>
      </c>
      <c r="K277">
        <f t="shared" si="17"/>
        <v>1</v>
      </c>
      <c r="L277">
        <f t="shared" si="18"/>
        <v>0</v>
      </c>
      <c r="M277">
        <v>19</v>
      </c>
      <c r="N277">
        <v>169</v>
      </c>
      <c r="O277">
        <f t="shared" si="19"/>
        <v>0</v>
      </c>
      <c r="P277">
        <v>0.53</v>
      </c>
    </row>
    <row r="278" spans="1:16" x14ac:dyDescent="0.2">
      <c r="A278" t="s">
        <v>573</v>
      </c>
      <c r="B278" t="s">
        <v>211</v>
      </c>
      <c r="C278" t="s">
        <v>136</v>
      </c>
      <c r="D278">
        <v>26</v>
      </c>
      <c r="E278">
        <v>111</v>
      </c>
      <c r="F278">
        <v>1445697</v>
      </c>
      <c r="G278" t="s">
        <v>574</v>
      </c>
      <c r="H278">
        <f t="shared" si="16"/>
        <v>1</v>
      </c>
      <c r="I278">
        <v>6</v>
      </c>
      <c r="J278">
        <v>1.8888888888888888</v>
      </c>
      <c r="K278">
        <f t="shared" si="17"/>
        <v>1</v>
      </c>
      <c r="L278">
        <f t="shared" si="18"/>
        <v>0</v>
      </c>
      <c r="M278">
        <v>3</v>
      </c>
      <c r="N278">
        <v>45</v>
      </c>
      <c r="O278">
        <f t="shared" si="19"/>
        <v>0</v>
      </c>
      <c r="P278">
        <v>0.64600000000000002</v>
      </c>
    </row>
    <row r="279" spans="1:16" x14ac:dyDescent="0.2">
      <c r="A279" t="s">
        <v>575</v>
      </c>
      <c r="B279" t="s">
        <v>211</v>
      </c>
      <c r="C279" t="s">
        <v>136</v>
      </c>
      <c r="D279">
        <v>25</v>
      </c>
      <c r="E279">
        <v>157</v>
      </c>
      <c r="F279">
        <v>1445697</v>
      </c>
      <c r="G279" t="s">
        <v>576</v>
      </c>
      <c r="H279">
        <f t="shared" si="16"/>
        <v>1</v>
      </c>
      <c r="I279">
        <v>10</v>
      </c>
      <c r="J279">
        <v>1.0625</v>
      </c>
      <c r="K279">
        <f t="shared" si="17"/>
        <v>1</v>
      </c>
      <c r="L279">
        <f t="shared" si="18"/>
        <v>0</v>
      </c>
      <c r="M279">
        <v>10</v>
      </c>
      <c r="N279">
        <v>78</v>
      </c>
      <c r="O279">
        <f t="shared" si="19"/>
        <v>0</v>
      </c>
      <c r="P279">
        <v>0.53600000000000003</v>
      </c>
    </row>
    <row r="280" spans="1:16" x14ac:dyDescent="0.2">
      <c r="A280" t="s">
        <v>577</v>
      </c>
      <c r="B280" t="s">
        <v>211</v>
      </c>
      <c r="C280" t="s">
        <v>136</v>
      </c>
      <c r="D280">
        <v>23</v>
      </c>
      <c r="E280">
        <v>15</v>
      </c>
      <c r="F280">
        <v>1000000</v>
      </c>
      <c r="G280" t="s">
        <v>578</v>
      </c>
      <c r="H280">
        <f t="shared" si="16"/>
        <v>1</v>
      </c>
      <c r="I280">
        <v>0</v>
      </c>
      <c r="J280">
        <v>0.66666666666666663</v>
      </c>
      <c r="K280">
        <f t="shared" si="17"/>
        <v>1</v>
      </c>
      <c r="L280">
        <f t="shared" si="18"/>
        <v>0</v>
      </c>
      <c r="M280">
        <v>0</v>
      </c>
      <c r="N280">
        <v>11</v>
      </c>
      <c r="O280">
        <f t="shared" si="19"/>
        <v>0</v>
      </c>
      <c r="P280">
        <v>0.44400000000000001</v>
      </c>
    </row>
    <row r="281" spans="1:16" x14ac:dyDescent="0.2">
      <c r="A281" t="s">
        <v>579</v>
      </c>
      <c r="B281" t="s">
        <v>211</v>
      </c>
      <c r="C281" t="s">
        <v>136</v>
      </c>
      <c r="D281">
        <v>28</v>
      </c>
      <c r="E281">
        <v>80</v>
      </c>
      <c r="F281">
        <v>898310</v>
      </c>
      <c r="G281" t="s">
        <v>580</v>
      </c>
      <c r="H281">
        <f t="shared" si="16"/>
        <v>1</v>
      </c>
      <c r="I281">
        <v>10</v>
      </c>
      <c r="J281">
        <v>1.375</v>
      </c>
      <c r="K281">
        <f t="shared" si="17"/>
        <v>1</v>
      </c>
      <c r="L281">
        <f t="shared" si="18"/>
        <v>0</v>
      </c>
      <c r="M281">
        <v>4</v>
      </c>
      <c r="N281">
        <v>51</v>
      </c>
      <c r="O281">
        <f t="shared" si="19"/>
        <v>0</v>
      </c>
      <c r="P281">
        <v>0.55800000000000005</v>
      </c>
    </row>
    <row r="282" spans="1:16" x14ac:dyDescent="0.2">
      <c r="A282" t="s">
        <v>581</v>
      </c>
      <c r="B282" t="s">
        <v>211</v>
      </c>
      <c r="C282" t="s">
        <v>136</v>
      </c>
      <c r="D282">
        <v>24</v>
      </c>
      <c r="E282">
        <v>236</v>
      </c>
      <c r="F282">
        <v>898310</v>
      </c>
      <c r="G282" t="s">
        <v>582</v>
      </c>
      <c r="H282">
        <f t="shared" si="16"/>
        <v>1</v>
      </c>
      <c r="I282">
        <v>11</v>
      </c>
      <c r="J282">
        <v>3</v>
      </c>
      <c r="K282">
        <f t="shared" si="17"/>
        <v>1</v>
      </c>
      <c r="L282">
        <f t="shared" si="18"/>
        <v>0</v>
      </c>
      <c r="M282">
        <v>2</v>
      </c>
      <c r="N282">
        <v>41</v>
      </c>
      <c r="O282">
        <f t="shared" si="19"/>
        <v>0</v>
      </c>
      <c r="P282">
        <v>0.58799999999999997</v>
      </c>
    </row>
    <row r="283" spans="1:16" x14ac:dyDescent="0.2">
      <c r="A283" t="s">
        <v>583</v>
      </c>
      <c r="B283" t="s">
        <v>211</v>
      </c>
      <c r="C283" t="s">
        <v>136</v>
      </c>
      <c r="D283">
        <v>22</v>
      </c>
      <c r="E283">
        <v>171</v>
      </c>
      <c r="F283">
        <v>898310</v>
      </c>
      <c r="G283" t="s">
        <v>584</v>
      </c>
      <c r="H283">
        <f t="shared" si="16"/>
        <v>1</v>
      </c>
      <c r="I283">
        <v>16</v>
      </c>
      <c r="J283">
        <v>0.29166666666666669</v>
      </c>
      <c r="K283">
        <f t="shared" si="17"/>
        <v>1</v>
      </c>
      <c r="L283">
        <f t="shared" si="18"/>
        <v>0</v>
      </c>
      <c r="M283">
        <v>7</v>
      </c>
      <c r="N283">
        <v>60</v>
      </c>
      <c r="O283">
        <f t="shared" si="19"/>
        <v>0</v>
      </c>
      <c r="P283">
        <v>0.56299999999999994</v>
      </c>
    </row>
    <row r="284" spans="1:16" x14ac:dyDescent="0.2">
      <c r="A284" t="s">
        <v>585</v>
      </c>
      <c r="B284" t="s">
        <v>211</v>
      </c>
      <c r="C284" t="s">
        <v>136</v>
      </c>
      <c r="D284">
        <v>22</v>
      </c>
      <c r="E284">
        <v>229</v>
      </c>
      <c r="F284">
        <v>757453</v>
      </c>
      <c r="G284" t="s">
        <v>586</v>
      </c>
      <c r="H284">
        <f t="shared" si="16"/>
        <v>1</v>
      </c>
      <c r="I284">
        <v>19</v>
      </c>
      <c r="J284">
        <v>1.8</v>
      </c>
      <c r="K284">
        <f t="shared" si="17"/>
        <v>1</v>
      </c>
      <c r="L284">
        <f t="shared" si="18"/>
        <v>0</v>
      </c>
      <c r="M284">
        <v>20</v>
      </c>
      <c r="N284">
        <v>115</v>
      </c>
      <c r="O284">
        <f t="shared" si="19"/>
        <v>0</v>
      </c>
      <c r="P284">
        <v>0.59299999999999997</v>
      </c>
    </row>
    <row r="285" spans="1:16" x14ac:dyDescent="0.2">
      <c r="A285" t="s">
        <v>587</v>
      </c>
      <c r="B285" t="s">
        <v>211</v>
      </c>
      <c r="C285" t="s">
        <v>136</v>
      </c>
      <c r="D285">
        <v>25</v>
      </c>
      <c r="E285">
        <v>370</v>
      </c>
      <c r="F285">
        <v>654469</v>
      </c>
      <c r="G285" t="s">
        <v>588</v>
      </c>
      <c r="H285">
        <f t="shared" si="16"/>
        <v>1</v>
      </c>
      <c r="I285">
        <v>33</v>
      </c>
      <c r="J285">
        <v>1.6046511627906976</v>
      </c>
      <c r="K285">
        <f t="shared" si="17"/>
        <v>1</v>
      </c>
      <c r="L285">
        <f t="shared" si="18"/>
        <v>0</v>
      </c>
      <c r="M285">
        <v>6</v>
      </c>
      <c r="N285">
        <v>129</v>
      </c>
      <c r="O285">
        <f t="shared" si="19"/>
        <v>0</v>
      </c>
      <c r="P285">
        <v>0.47099999999999997</v>
      </c>
    </row>
    <row r="286" spans="1:16" x14ac:dyDescent="0.2">
      <c r="A286" t="s">
        <v>589</v>
      </c>
      <c r="B286" t="s">
        <v>211</v>
      </c>
      <c r="C286" t="s">
        <v>136</v>
      </c>
      <c r="D286">
        <v>23</v>
      </c>
      <c r="E286">
        <v>165</v>
      </c>
      <c r="F286">
        <v>652366</v>
      </c>
      <c r="G286" t="s">
        <v>590</v>
      </c>
      <c r="H286">
        <f t="shared" si="16"/>
        <v>1</v>
      </c>
      <c r="I286">
        <v>17</v>
      </c>
      <c r="J286">
        <v>1.0869565217391304</v>
      </c>
      <c r="K286">
        <f t="shared" si="17"/>
        <v>1</v>
      </c>
      <c r="L286">
        <f t="shared" si="18"/>
        <v>0</v>
      </c>
      <c r="M286">
        <v>13</v>
      </c>
      <c r="N286">
        <v>96</v>
      </c>
      <c r="O286">
        <f t="shared" si="19"/>
        <v>0</v>
      </c>
      <c r="P286">
        <v>0.47099999999999997</v>
      </c>
    </row>
    <row r="287" spans="1:16" x14ac:dyDescent="0.2">
      <c r="A287" t="s">
        <v>591</v>
      </c>
      <c r="B287" t="s">
        <v>211</v>
      </c>
      <c r="C287" t="s">
        <v>136</v>
      </c>
      <c r="D287">
        <v>21</v>
      </c>
      <c r="E287">
        <v>88</v>
      </c>
      <c r="F287">
        <v>609128</v>
      </c>
      <c r="G287" t="s">
        <v>592</v>
      </c>
      <c r="H287">
        <f t="shared" si="16"/>
        <v>1</v>
      </c>
      <c r="I287">
        <v>10</v>
      </c>
      <c r="J287">
        <v>1</v>
      </c>
      <c r="K287">
        <f t="shared" si="17"/>
        <v>1</v>
      </c>
      <c r="L287">
        <f t="shared" si="18"/>
        <v>0</v>
      </c>
      <c r="M287">
        <v>13</v>
      </c>
      <c r="N287">
        <v>61</v>
      </c>
      <c r="O287">
        <f t="shared" si="19"/>
        <v>0</v>
      </c>
      <c r="P287">
        <v>0.53800000000000003</v>
      </c>
    </row>
    <row r="288" spans="1:16" x14ac:dyDescent="0.2">
      <c r="A288" t="s">
        <v>593</v>
      </c>
      <c r="B288" t="s">
        <v>211</v>
      </c>
      <c r="C288" t="s">
        <v>136</v>
      </c>
      <c r="D288">
        <v>28</v>
      </c>
      <c r="E288">
        <v>14</v>
      </c>
      <c r="F288">
        <v>449155</v>
      </c>
      <c r="G288" t="s">
        <v>594</v>
      </c>
      <c r="H288">
        <f t="shared" si="16"/>
        <v>1</v>
      </c>
      <c r="I288">
        <v>2</v>
      </c>
      <c r="J288">
        <v>0</v>
      </c>
      <c r="K288">
        <f t="shared" si="17"/>
        <v>1</v>
      </c>
      <c r="L288">
        <f t="shared" si="18"/>
        <v>0</v>
      </c>
      <c r="M288">
        <v>3</v>
      </c>
      <c r="N288">
        <v>6</v>
      </c>
      <c r="O288">
        <f t="shared" si="19"/>
        <v>0</v>
      </c>
      <c r="P288">
        <v>0.40899999999999997</v>
      </c>
    </row>
    <row r="289" spans="1:16" x14ac:dyDescent="0.2">
      <c r="A289" t="s">
        <v>595</v>
      </c>
      <c r="B289" t="s">
        <v>211</v>
      </c>
      <c r="C289" t="s">
        <v>136</v>
      </c>
      <c r="D289">
        <v>20</v>
      </c>
      <c r="E289">
        <v>78</v>
      </c>
      <c r="F289">
        <v>449155</v>
      </c>
      <c r="G289" t="s">
        <v>596</v>
      </c>
      <c r="H289">
        <f t="shared" si="16"/>
        <v>1</v>
      </c>
      <c r="I289">
        <v>6</v>
      </c>
      <c r="J289">
        <v>0.93333333333333335</v>
      </c>
      <c r="K289">
        <f t="shared" si="17"/>
        <v>1</v>
      </c>
      <c r="L289">
        <f t="shared" si="18"/>
        <v>0</v>
      </c>
      <c r="M289">
        <v>6</v>
      </c>
      <c r="N289">
        <v>73</v>
      </c>
      <c r="O289">
        <f t="shared" si="19"/>
        <v>0</v>
      </c>
      <c r="P289">
        <v>0.436</v>
      </c>
    </row>
    <row r="290" spans="1:16" x14ac:dyDescent="0.2">
      <c r="A290" t="s">
        <v>597</v>
      </c>
      <c r="B290" t="s">
        <v>211</v>
      </c>
      <c r="C290" t="s">
        <v>136</v>
      </c>
      <c r="D290">
        <v>23</v>
      </c>
      <c r="E290">
        <v>124</v>
      </c>
      <c r="F290">
        <v>449155</v>
      </c>
      <c r="G290" t="s">
        <v>598</v>
      </c>
      <c r="H290">
        <f t="shared" si="16"/>
        <v>1</v>
      </c>
      <c r="I290">
        <v>9</v>
      </c>
      <c r="J290">
        <v>0.53333333333333333</v>
      </c>
      <c r="K290">
        <f t="shared" si="17"/>
        <v>1</v>
      </c>
      <c r="L290">
        <f t="shared" si="18"/>
        <v>0</v>
      </c>
      <c r="M290">
        <v>10</v>
      </c>
      <c r="N290">
        <v>72</v>
      </c>
      <c r="O290">
        <f t="shared" si="19"/>
        <v>0</v>
      </c>
      <c r="P290">
        <v>0.4</v>
      </c>
    </row>
    <row r="291" spans="1:16" x14ac:dyDescent="0.2">
      <c r="A291" t="s">
        <v>599</v>
      </c>
      <c r="B291" t="s">
        <v>211</v>
      </c>
      <c r="C291" t="s">
        <v>136</v>
      </c>
      <c r="D291">
        <v>24</v>
      </c>
      <c r="E291">
        <v>94</v>
      </c>
      <c r="F291">
        <v>399591</v>
      </c>
      <c r="G291" t="s">
        <v>600</v>
      </c>
      <c r="H291">
        <f t="shared" si="16"/>
        <v>1</v>
      </c>
      <c r="I291">
        <v>5</v>
      </c>
      <c r="J291">
        <v>1.5555555555555556</v>
      </c>
      <c r="K291">
        <f t="shared" si="17"/>
        <v>1</v>
      </c>
      <c r="L291">
        <f t="shared" si="18"/>
        <v>0</v>
      </c>
      <c r="M291">
        <v>5</v>
      </c>
      <c r="N291">
        <v>90</v>
      </c>
      <c r="O291">
        <f t="shared" si="19"/>
        <v>0</v>
      </c>
      <c r="P291">
        <v>0.59599999999999997</v>
      </c>
    </row>
    <row r="292" spans="1:16" x14ac:dyDescent="0.2">
      <c r="A292" t="s">
        <v>601</v>
      </c>
      <c r="B292" t="s">
        <v>211</v>
      </c>
      <c r="C292" t="s">
        <v>136</v>
      </c>
      <c r="D292">
        <v>26</v>
      </c>
      <c r="E292">
        <v>218</v>
      </c>
      <c r="F292">
        <v>321893</v>
      </c>
      <c r="G292" t="s">
        <v>602</v>
      </c>
      <c r="H292">
        <f t="shared" si="16"/>
        <v>1</v>
      </c>
      <c r="I292">
        <v>26</v>
      </c>
      <c r="J292">
        <v>2.1052631578947367</v>
      </c>
      <c r="K292">
        <f t="shared" si="17"/>
        <v>1</v>
      </c>
      <c r="L292">
        <f t="shared" si="18"/>
        <v>0</v>
      </c>
      <c r="M292">
        <v>19</v>
      </c>
      <c r="N292">
        <v>159</v>
      </c>
      <c r="O292">
        <f t="shared" si="19"/>
        <v>0</v>
      </c>
      <c r="P292">
        <v>0.53900000000000003</v>
      </c>
    </row>
    <row r="293" spans="1:16" x14ac:dyDescent="0.2">
      <c r="A293" t="s">
        <v>603</v>
      </c>
      <c r="B293" t="s">
        <v>211</v>
      </c>
      <c r="C293" t="s">
        <v>136</v>
      </c>
      <c r="D293">
        <v>35</v>
      </c>
      <c r="E293">
        <v>17</v>
      </c>
      <c r="F293">
        <v>263501</v>
      </c>
      <c r="G293" t="s">
        <v>604</v>
      </c>
      <c r="H293">
        <f t="shared" si="16"/>
        <v>1</v>
      </c>
      <c r="I293">
        <v>3</v>
      </c>
      <c r="J293">
        <v>0.66666666666666663</v>
      </c>
      <c r="K293">
        <f t="shared" si="17"/>
        <v>1</v>
      </c>
      <c r="L293">
        <f t="shared" si="18"/>
        <v>0</v>
      </c>
      <c r="M293">
        <v>2</v>
      </c>
      <c r="N293">
        <v>10</v>
      </c>
      <c r="O293">
        <f t="shared" si="19"/>
        <v>0</v>
      </c>
      <c r="P293">
        <v>0.35299999999999998</v>
      </c>
    </row>
    <row r="294" spans="1:16" x14ac:dyDescent="0.2">
      <c r="A294" t="s">
        <v>605</v>
      </c>
      <c r="B294" t="s">
        <v>211</v>
      </c>
      <c r="C294" t="s">
        <v>136</v>
      </c>
      <c r="D294">
        <v>24</v>
      </c>
      <c r="E294">
        <v>44</v>
      </c>
      <c r="F294">
        <v>160173</v>
      </c>
      <c r="G294" t="s">
        <v>606</v>
      </c>
      <c r="H294">
        <f t="shared" si="16"/>
        <v>1</v>
      </c>
      <c r="I294">
        <v>7</v>
      </c>
      <c r="J294">
        <v>2.6666666666666665</v>
      </c>
      <c r="K294">
        <f t="shared" si="17"/>
        <v>1</v>
      </c>
      <c r="L294">
        <f t="shared" si="18"/>
        <v>0</v>
      </c>
      <c r="M294">
        <v>6</v>
      </c>
      <c r="N294">
        <v>34</v>
      </c>
      <c r="O294">
        <f t="shared" si="19"/>
        <v>0</v>
      </c>
      <c r="P294">
        <v>0.41299999999999998</v>
      </c>
    </row>
    <row r="295" spans="1:16" x14ac:dyDescent="0.2">
      <c r="A295" t="s">
        <v>607</v>
      </c>
      <c r="B295" t="s">
        <v>211</v>
      </c>
      <c r="C295" t="s">
        <v>136</v>
      </c>
      <c r="D295">
        <v>23</v>
      </c>
      <c r="E295">
        <v>111</v>
      </c>
      <c r="F295">
        <v>116903</v>
      </c>
      <c r="G295" t="s">
        <v>608</v>
      </c>
      <c r="H295">
        <f t="shared" si="16"/>
        <v>1</v>
      </c>
      <c r="I295">
        <v>13</v>
      </c>
      <c r="J295">
        <v>0.75</v>
      </c>
      <c r="K295">
        <f t="shared" si="17"/>
        <v>1</v>
      </c>
      <c r="L295">
        <f t="shared" si="18"/>
        <v>0</v>
      </c>
      <c r="M295">
        <v>20</v>
      </c>
      <c r="N295">
        <v>97</v>
      </c>
      <c r="O295">
        <f t="shared" si="19"/>
        <v>0</v>
      </c>
      <c r="P295">
        <v>0.52400000000000002</v>
      </c>
    </row>
    <row r="296" spans="1:16" x14ac:dyDescent="0.2">
      <c r="A296" t="s">
        <v>609</v>
      </c>
      <c r="B296" t="s">
        <v>610</v>
      </c>
      <c r="C296" t="s">
        <v>18</v>
      </c>
      <c r="D296">
        <v>32</v>
      </c>
      <c r="E296">
        <v>2015</v>
      </c>
      <c r="F296">
        <v>43006362</v>
      </c>
      <c r="G296" t="s">
        <v>611</v>
      </c>
      <c r="H296">
        <f t="shared" si="16"/>
        <v>0</v>
      </c>
      <c r="I296">
        <v>77</v>
      </c>
      <c r="J296">
        <v>1.70422535211268</v>
      </c>
      <c r="K296">
        <f t="shared" si="17"/>
        <v>0</v>
      </c>
      <c r="L296">
        <f t="shared" si="18"/>
        <v>1</v>
      </c>
      <c r="M296">
        <v>8</v>
      </c>
      <c r="N296">
        <v>345</v>
      </c>
      <c r="O296">
        <f t="shared" si="19"/>
        <v>1</v>
      </c>
      <c r="P296">
        <v>0.60499999999999998</v>
      </c>
    </row>
    <row r="297" spans="1:16" x14ac:dyDescent="0.2">
      <c r="A297" t="s">
        <v>612</v>
      </c>
      <c r="B297" t="s">
        <v>610</v>
      </c>
      <c r="C297" t="s">
        <v>18</v>
      </c>
      <c r="D297">
        <v>35</v>
      </c>
      <c r="E297">
        <v>1149</v>
      </c>
      <c r="F297">
        <v>41358814</v>
      </c>
      <c r="G297" t="s">
        <v>613</v>
      </c>
      <c r="H297">
        <f t="shared" si="16"/>
        <v>0</v>
      </c>
      <c r="I297">
        <v>99</v>
      </c>
      <c r="J297">
        <v>3.9871794871794872</v>
      </c>
      <c r="K297">
        <f t="shared" si="17"/>
        <v>0</v>
      </c>
      <c r="L297">
        <f t="shared" si="18"/>
        <v>1</v>
      </c>
      <c r="M297">
        <v>19</v>
      </c>
      <c r="N297">
        <v>312</v>
      </c>
      <c r="O297">
        <f t="shared" si="19"/>
        <v>1</v>
      </c>
      <c r="P297">
        <v>0.55700000000000005</v>
      </c>
    </row>
    <row r="298" spans="1:16" x14ac:dyDescent="0.2">
      <c r="A298" t="s">
        <v>614</v>
      </c>
      <c r="B298" t="s">
        <v>610</v>
      </c>
      <c r="C298" t="s">
        <v>18</v>
      </c>
      <c r="D298">
        <v>30</v>
      </c>
      <c r="E298">
        <v>823</v>
      </c>
      <c r="F298">
        <v>41254920</v>
      </c>
      <c r="G298" t="s">
        <v>615</v>
      </c>
      <c r="H298">
        <f t="shared" si="16"/>
        <v>0</v>
      </c>
      <c r="I298">
        <v>42</v>
      </c>
      <c r="J298">
        <v>1.9503546099290781</v>
      </c>
      <c r="K298">
        <f t="shared" si="17"/>
        <v>0</v>
      </c>
      <c r="L298">
        <f t="shared" si="18"/>
        <v>1</v>
      </c>
      <c r="M298">
        <v>31</v>
      </c>
      <c r="N298">
        <v>129</v>
      </c>
      <c r="O298">
        <f t="shared" si="19"/>
        <v>1</v>
      </c>
      <c r="P298">
        <v>0.45800000000000002</v>
      </c>
    </row>
    <row r="299" spans="1:16" x14ac:dyDescent="0.2">
      <c r="A299" t="s">
        <v>616</v>
      </c>
      <c r="B299" t="s">
        <v>610</v>
      </c>
      <c r="C299" t="s">
        <v>18</v>
      </c>
      <c r="D299">
        <v>36</v>
      </c>
      <c r="E299">
        <v>1126</v>
      </c>
      <c r="F299">
        <v>39219565</v>
      </c>
      <c r="G299" t="s">
        <v>617</v>
      </c>
      <c r="H299">
        <f t="shared" si="16"/>
        <v>0</v>
      </c>
      <c r="I299">
        <v>48</v>
      </c>
      <c r="J299">
        <v>2.0833333333333335</v>
      </c>
      <c r="K299">
        <f t="shared" si="17"/>
        <v>0</v>
      </c>
      <c r="L299">
        <f t="shared" si="18"/>
        <v>1</v>
      </c>
      <c r="M299">
        <v>25</v>
      </c>
      <c r="N299">
        <v>346</v>
      </c>
      <c r="O299">
        <f t="shared" si="19"/>
        <v>1</v>
      </c>
      <c r="P299">
        <v>0.57599999999999996</v>
      </c>
    </row>
    <row r="300" spans="1:16" x14ac:dyDescent="0.2">
      <c r="A300" t="s">
        <v>618</v>
      </c>
      <c r="B300" t="s">
        <v>610</v>
      </c>
      <c r="C300" t="s">
        <v>18</v>
      </c>
      <c r="D300">
        <v>33</v>
      </c>
      <c r="E300">
        <v>827</v>
      </c>
      <c r="F300">
        <v>34502130</v>
      </c>
      <c r="G300" t="s">
        <v>619</v>
      </c>
      <c r="H300">
        <f t="shared" si="16"/>
        <v>0</v>
      </c>
      <c r="I300">
        <v>70</v>
      </c>
      <c r="J300">
        <v>3.0808080808080809</v>
      </c>
      <c r="K300">
        <f t="shared" si="17"/>
        <v>0</v>
      </c>
      <c r="L300">
        <f t="shared" si="18"/>
        <v>1</v>
      </c>
      <c r="M300">
        <v>9</v>
      </c>
      <c r="N300">
        <v>177</v>
      </c>
      <c r="O300">
        <f t="shared" si="19"/>
        <v>1</v>
      </c>
      <c r="P300">
        <v>0.55200000000000005</v>
      </c>
    </row>
    <row r="301" spans="1:16" x14ac:dyDescent="0.2">
      <c r="A301" t="s">
        <v>620</v>
      </c>
      <c r="B301" t="s">
        <v>610</v>
      </c>
      <c r="C301" t="s">
        <v>18</v>
      </c>
      <c r="D301">
        <v>30</v>
      </c>
      <c r="E301">
        <v>1928</v>
      </c>
      <c r="F301">
        <v>31626953</v>
      </c>
      <c r="G301" t="s">
        <v>621</v>
      </c>
      <c r="H301">
        <f t="shared" si="16"/>
        <v>0</v>
      </c>
      <c r="I301">
        <v>62</v>
      </c>
      <c r="J301">
        <v>2.4876847290640396</v>
      </c>
      <c r="K301">
        <f t="shared" si="17"/>
        <v>0</v>
      </c>
      <c r="L301">
        <f t="shared" si="18"/>
        <v>1</v>
      </c>
      <c r="M301">
        <v>17</v>
      </c>
      <c r="N301">
        <v>283</v>
      </c>
      <c r="O301">
        <f t="shared" si="19"/>
        <v>1</v>
      </c>
      <c r="P301">
        <v>0.55400000000000005</v>
      </c>
    </row>
    <row r="302" spans="1:16" x14ac:dyDescent="0.2">
      <c r="A302" t="s">
        <v>622</v>
      </c>
      <c r="B302" t="s">
        <v>610</v>
      </c>
      <c r="C302" t="s">
        <v>18</v>
      </c>
      <c r="D302">
        <v>24</v>
      </c>
      <c r="E302">
        <v>1712</v>
      </c>
      <c r="F302">
        <v>29467800</v>
      </c>
      <c r="G302" t="s">
        <v>623</v>
      </c>
      <c r="H302">
        <f t="shared" si="16"/>
        <v>0</v>
      </c>
      <c r="I302">
        <v>53</v>
      </c>
      <c r="J302">
        <v>1.3961352657004831</v>
      </c>
      <c r="K302">
        <f t="shared" si="17"/>
        <v>0</v>
      </c>
      <c r="L302">
        <f t="shared" si="18"/>
        <v>1</v>
      </c>
      <c r="M302">
        <v>16</v>
      </c>
      <c r="N302">
        <v>281</v>
      </c>
      <c r="O302">
        <f t="shared" si="19"/>
        <v>1</v>
      </c>
      <c r="P302">
        <v>0.53300000000000003</v>
      </c>
    </row>
    <row r="303" spans="1:16" x14ac:dyDescent="0.2">
      <c r="A303" t="s">
        <v>624</v>
      </c>
      <c r="B303" t="s">
        <v>610</v>
      </c>
      <c r="C303" t="s">
        <v>18</v>
      </c>
      <c r="D303">
        <v>29</v>
      </c>
      <c r="E303">
        <v>1087</v>
      </c>
      <c r="F303">
        <v>29354152</v>
      </c>
      <c r="G303" t="s">
        <v>625</v>
      </c>
      <c r="H303">
        <f t="shared" si="16"/>
        <v>0</v>
      </c>
      <c r="I303">
        <v>44</v>
      </c>
      <c r="J303">
        <v>3.4307692307692306</v>
      </c>
      <c r="K303">
        <f t="shared" si="17"/>
        <v>0</v>
      </c>
      <c r="L303">
        <f t="shared" si="18"/>
        <v>1</v>
      </c>
      <c r="M303">
        <v>21</v>
      </c>
      <c r="N303">
        <v>185</v>
      </c>
      <c r="O303">
        <f t="shared" si="19"/>
        <v>1</v>
      </c>
      <c r="P303">
        <v>0.55400000000000005</v>
      </c>
    </row>
    <row r="304" spans="1:16" x14ac:dyDescent="0.2">
      <c r="A304" t="s">
        <v>626</v>
      </c>
      <c r="B304" t="s">
        <v>610</v>
      </c>
      <c r="C304" t="s">
        <v>18</v>
      </c>
      <c r="D304">
        <v>24</v>
      </c>
      <c r="E304">
        <v>796</v>
      </c>
      <c r="F304">
        <v>28649250</v>
      </c>
      <c r="G304" t="s">
        <v>627</v>
      </c>
      <c r="H304">
        <f t="shared" si="16"/>
        <v>0</v>
      </c>
      <c r="I304">
        <v>45</v>
      </c>
      <c r="J304">
        <v>2.1785714285714284</v>
      </c>
      <c r="K304">
        <f t="shared" si="17"/>
        <v>0</v>
      </c>
      <c r="L304">
        <f t="shared" si="18"/>
        <v>1</v>
      </c>
      <c r="M304">
        <v>18</v>
      </c>
      <c r="N304">
        <v>111</v>
      </c>
      <c r="O304">
        <f t="shared" si="19"/>
        <v>1</v>
      </c>
      <c r="P304">
        <v>0.52300000000000002</v>
      </c>
    </row>
    <row r="305" spans="1:16" x14ac:dyDescent="0.2">
      <c r="A305" t="s">
        <v>628</v>
      </c>
      <c r="B305" t="s">
        <v>610</v>
      </c>
      <c r="C305" t="s">
        <v>18</v>
      </c>
      <c r="D305">
        <v>23</v>
      </c>
      <c r="E305">
        <v>1018</v>
      </c>
      <c r="F305">
        <v>27285000</v>
      </c>
      <c r="G305" t="s">
        <v>629</v>
      </c>
      <c r="H305">
        <f t="shared" si="16"/>
        <v>0</v>
      </c>
      <c r="I305">
        <v>64</v>
      </c>
      <c r="J305">
        <v>2.1388888888888888</v>
      </c>
      <c r="K305">
        <f t="shared" si="17"/>
        <v>0</v>
      </c>
      <c r="L305">
        <f t="shared" si="18"/>
        <v>1</v>
      </c>
      <c r="M305">
        <v>13</v>
      </c>
      <c r="N305">
        <v>194</v>
      </c>
      <c r="O305">
        <f t="shared" si="19"/>
        <v>1</v>
      </c>
      <c r="P305">
        <v>0.55900000000000005</v>
      </c>
    </row>
    <row r="306" spans="1:16" x14ac:dyDescent="0.2">
      <c r="A306" t="s">
        <v>630</v>
      </c>
      <c r="B306" t="s">
        <v>610</v>
      </c>
      <c r="C306" t="s">
        <v>18</v>
      </c>
      <c r="D306">
        <v>28</v>
      </c>
      <c r="E306">
        <v>1176</v>
      </c>
      <c r="F306">
        <v>24701834</v>
      </c>
      <c r="G306" t="s">
        <v>631</v>
      </c>
      <c r="H306">
        <f t="shared" si="16"/>
        <v>0</v>
      </c>
      <c r="I306">
        <v>63</v>
      </c>
      <c r="J306">
        <v>1.976923076923077</v>
      </c>
      <c r="K306">
        <f t="shared" si="17"/>
        <v>0</v>
      </c>
      <c r="L306">
        <f t="shared" si="18"/>
        <v>1</v>
      </c>
      <c r="M306">
        <v>30</v>
      </c>
      <c r="N306">
        <v>334</v>
      </c>
      <c r="O306">
        <f t="shared" si="19"/>
        <v>1</v>
      </c>
      <c r="P306">
        <v>0.54800000000000004</v>
      </c>
    </row>
    <row r="307" spans="1:16" x14ac:dyDescent="0.2">
      <c r="A307" t="s">
        <v>632</v>
      </c>
      <c r="B307" t="s">
        <v>610</v>
      </c>
      <c r="C307" t="s">
        <v>18</v>
      </c>
      <c r="D307">
        <v>28</v>
      </c>
      <c r="E307">
        <v>1163</v>
      </c>
      <c r="F307">
        <v>18975000</v>
      </c>
      <c r="G307" t="s">
        <v>633</v>
      </c>
      <c r="H307">
        <f t="shared" si="16"/>
        <v>0</v>
      </c>
      <c r="I307">
        <v>31</v>
      </c>
      <c r="J307">
        <v>1.96875</v>
      </c>
      <c r="K307">
        <f t="shared" si="17"/>
        <v>0</v>
      </c>
      <c r="L307">
        <f t="shared" si="18"/>
        <v>1</v>
      </c>
      <c r="M307">
        <v>11</v>
      </c>
      <c r="N307">
        <v>229</v>
      </c>
      <c r="O307">
        <f t="shared" si="19"/>
        <v>1</v>
      </c>
      <c r="P307">
        <v>0.56000000000000005</v>
      </c>
    </row>
    <row r="308" spans="1:16" x14ac:dyDescent="0.2">
      <c r="A308" t="s">
        <v>634</v>
      </c>
      <c r="B308" t="s">
        <v>610</v>
      </c>
      <c r="C308" t="s">
        <v>18</v>
      </c>
      <c r="D308">
        <v>30</v>
      </c>
      <c r="E308">
        <v>582</v>
      </c>
      <c r="F308">
        <v>17000000</v>
      </c>
      <c r="G308" t="s">
        <v>635</v>
      </c>
      <c r="H308">
        <f t="shared" si="16"/>
        <v>0</v>
      </c>
      <c r="I308">
        <v>98</v>
      </c>
      <c r="J308">
        <v>3.900900900900901</v>
      </c>
      <c r="K308">
        <f t="shared" si="17"/>
        <v>0</v>
      </c>
      <c r="L308">
        <f t="shared" si="18"/>
        <v>1</v>
      </c>
      <c r="M308">
        <v>4</v>
      </c>
      <c r="N308">
        <v>223</v>
      </c>
      <c r="O308">
        <f t="shared" si="19"/>
        <v>1</v>
      </c>
      <c r="P308">
        <v>0.45400000000000001</v>
      </c>
    </row>
    <row r="309" spans="1:16" x14ac:dyDescent="0.2">
      <c r="A309" t="s">
        <v>636</v>
      </c>
      <c r="B309" t="s">
        <v>610</v>
      </c>
      <c r="C309" t="s">
        <v>18</v>
      </c>
      <c r="D309">
        <v>31</v>
      </c>
      <c r="E309">
        <v>869</v>
      </c>
      <c r="F309">
        <v>16875000</v>
      </c>
      <c r="G309" t="s">
        <v>637</v>
      </c>
      <c r="H309">
        <f t="shared" si="16"/>
        <v>0</v>
      </c>
      <c r="I309">
        <v>55</v>
      </c>
      <c r="J309">
        <v>2.3508771929824563</v>
      </c>
      <c r="K309">
        <f t="shared" si="17"/>
        <v>0</v>
      </c>
      <c r="L309">
        <f t="shared" si="18"/>
        <v>1</v>
      </c>
      <c r="M309">
        <v>24</v>
      </c>
      <c r="N309">
        <v>244</v>
      </c>
      <c r="O309">
        <f t="shared" si="19"/>
        <v>1</v>
      </c>
      <c r="P309">
        <v>0.503</v>
      </c>
    </row>
    <row r="310" spans="1:16" x14ac:dyDescent="0.2">
      <c r="A310" t="s">
        <v>638</v>
      </c>
      <c r="B310" t="s">
        <v>610</v>
      </c>
      <c r="C310" t="s">
        <v>18</v>
      </c>
      <c r="D310">
        <v>32</v>
      </c>
      <c r="E310">
        <v>481</v>
      </c>
      <c r="F310">
        <v>16869276</v>
      </c>
      <c r="G310" t="s">
        <v>639</v>
      </c>
      <c r="H310">
        <f t="shared" si="16"/>
        <v>0</v>
      </c>
      <c r="I310">
        <v>14</v>
      </c>
      <c r="J310">
        <v>1.392156862745098</v>
      </c>
      <c r="K310">
        <f t="shared" si="17"/>
        <v>0</v>
      </c>
      <c r="L310">
        <f t="shared" si="18"/>
        <v>1</v>
      </c>
      <c r="M310">
        <v>13</v>
      </c>
      <c r="N310">
        <v>58</v>
      </c>
      <c r="O310">
        <f t="shared" si="19"/>
        <v>1</v>
      </c>
      <c r="P310">
        <v>0.52700000000000002</v>
      </c>
    </row>
    <row r="311" spans="1:16" x14ac:dyDescent="0.2">
      <c r="A311" t="s">
        <v>640</v>
      </c>
      <c r="B311" t="s">
        <v>610</v>
      </c>
      <c r="C311" t="s">
        <v>18</v>
      </c>
      <c r="D311">
        <v>27</v>
      </c>
      <c r="E311">
        <v>941</v>
      </c>
      <c r="F311">
        <v>16000000</v>
      </c>
      <c r="G311" t="s">
        <v>641</v>
      </c>
      <c r="H311">
        <f t="shared" si="16"/>
        <v>0</v>
      </c>
      <c r="I311">
        <v>70</v>
      </c>
      <c r="J311">
        <v>2.1533742331288344</v>
      </c>
      <c r="K311">
        <f t="shared" si="17"/>
        <v>0</v>
      </c>
      <c r="L311">
        <f t="shared" si="18"/>
        <v>1</v>
      </c>
      <c r="M311">
        <v>13</v>
      </c>
      <c r="N311">
        <v>211</v>
      </c>
      <c r="O311">
        <f t="shared" si="19"/>
        <v>1</v>
      </c>
      <c r="P311">
        <v>0.48399999999999999</v>
      </c>
    </row>
    <row r="312" spans="1:16" x14ac:dyDescent="0.2">
      <c r="A312" t="s">
        <v>642</v>
      </c>
      <c r="B312" t="s">
        <v>610</v>
      </c>
      <c r="C312" t="s">
        <v>18</v>
      </c>
      <c r="D312">
        <v>24</v>
      </c>
      <c r="E312">
        <v>1051</v>
      </c>
      <c r="F312">
        <v>14286000</v>
      </c>
      <c r="G312" t="s">
        <v>643</v>
      </c>
      <c r="H312">
        <f t="shared" si="16"/>
        <v>0</v>
      </c>
      <c r="I312">
        <v>101</v>
      </c>
      <c r="J312">
        <v>3.1025641025641026</v>
      </c>
      <c r="K312">
        <f t="shared" si="17"/>
        <v>0</v>
      </c>
      <c r="L312">
        <f t="shared" si="18"/>
        <v>1</v>
      </c>
      <c r="M312">
        <v>7</v>
      </c>
      <c r="N312">
        <v>473</v>
      </c>
      <c r="O312">
        <f t="shared" si="19"/>
        <v>1</v>
      </c>
      <c r="P312">
        <v>0.48499999999999999</v>
      </c>
    </row>
    <row r="313" spans="1:16" x14ac:dyDescent="0.2">
      <c r="A313" t="s">
        <v>644</v>
      </c>
      <c r="B313" t="s">
        <v>610</v>
      </c>
      <c r="C313" t="s">
        <v>18</v>
      </c>
      <c r="D313">
        <v>32</v>
      </c>
      <c r="E313">
        <v>736</v>
      </c>
      <c r="F313">
        <v>13535714</v>
      </c>
      <c r="G313" t="s">
        <v>645</v>
      </c>
      <c r="H313">
        <f t="shared" si="16"/>
        <v>0</v>
      </c>
      <c r="I313">
        <v>42</v>
      </c>
      <c r="J313">
        <v>2.4545454545454546</v>
      </c>
      <c r="K313">
        <f t="shared" si="17"/>
        <v>0</v>
      </c>
      <c r="L313">
        <f t="shared" si="18"/>
        <v>1</v>
      </c>
      <c r="M313">
        <v>3</v>
      </c>
      <c r="N313">
        <v>116</v>
      </c>
      <c r="O313">
        <f t="shared" si="19"/>
        <v>1</v>
      </c>
      <c r="P313">
        <v>0.54400000000000004</v>
      </c>
    </row>
    <row r="314" spans="1:16" x14ac:dyDescent="0.2">
      <c r="A314" t="s">
        <v>646</v>
      </c>
      <c r="B314" t="s">
        <v>610</v>
      </c>
      <c r="C314" t="s">
        <v>18</v>
      </c>
      <c r="D314">
        <v>24</v>
      </c>
      <c r="E314">
        <v>724</v>
      </c>
      <c r="F314">
        <v>13425895</v>
      </c>
      <c r="G314" t="s">
        <v>647</v>
      </c>
      <c r="H314">
        <f t="shared" si="16"/>
        <v>0</v>
      </c>
      <c r="I314">
        <v>30</v>
      </c>
      <c r="J314">
        <v>1.4666666666666666</v>
      </c>
      <c r="K314">
        <f t="shared" si="17"/>
        <v>0</v>
      </c>
      <c r="L314">
        <f t="shared" si="18"/>
        <v>1</v>
      </c>
      <c r="M314">
        <v>7</v>
      </c>
      <c r="N314">
        <v>162</v>
      </c>
      <c r="O314">
        <f t="shared" si="19"/>
        <v>1</v>
      </c>
      <c r="P314">
        <v>0.54700000000000004</v>
      </c>
    </row>
    <row r="315" spans="1:16" x14ac:dyDescent="0.2">
      <c r="A315" t="s">
        <v>648</v>
      </c>
      <c r="B315" t="s">
        <v>610</v>
      </c>
      <c r="C315" t="s">
        <v>18</v>
      </c>
      <c r="D315">
        <v>32</v>
      </c>
      <c r="E315">
        <v>278</v>
      </c>
      <c r="F315">
        <v>13333333</v>
      </c>
      <c r="G315" t="s">
        <v>649</v>
      </c>
      <c r="H315">
        <f t="shared" si="16"/>
        <v>0</v>
      </c>
      <c r="I315">
        <v>29</v>
      </c>
      <c r="J315">
        <v>2.2352941176470589</v>
      </c>
      <c r="K315">
        <f t="shared" si="17"/>
        <v>0</v>
      </c>
      <c r="L315">
        <f t="shared" si="18"/>
        <v>1</v>
      </c>
      <c r="M315">
        <v>28</v>
      </c>
      <c r="N315">
        <v>119</v>
      </c>
      <c r="O315">
        <f t="shared" si="19"/>
        <v>1</v>
      </c>
      <c r="P315">
        <v>0.55000000000000004</v>
      </c>
    </row>
    <row r="316" spans="1:16" x14ac:dyDescent="0.2">
      <c r="A316" t="s">
        <v>650</v>
      </c>
      <c r="B316" t="s">
        <v>610</v>
      </c>
      <c r="C316" t="s">
        <v>18</v>
      </c>
      <c r="D316">
        <v>27</v>
      </c>
      <c r="E316">
        <v>653</v>
      </c>
      <c r="F316">
        <v>12073020</v>
      </c>
      <c r="G316" t="s">
        <v>651</v>
      </c>
      <c r="H316">
        <f t="shared" si="16"/>
        <v>0</v>
      </c>
      <c r="I316">
        <v>62</v>
      </c>
      <c r="J316">
        <v>1.9242424242424243</v>
      </c>
      <c r="K316">
        <f t="shared" si="17"/>
        <v>0</v>
      </c>
      <c r="L316">
        <f t="shared" si="18"/>
        <v>1</v>
      </c>
      <c r="M316">
        <v>26</v>
      </c>
      <c r="N316">
        <v>179</v>
      </c>
      <c r="O316">
        <f t="shared" si="19"/>
        <v>1</v>
      </c>
      <c r="P316">
        <v>0.54900000000000004</v>
      </c>
    </row>
    <row r="317" spans="1:16" x14ac:dyDescent="0.2">
      <c r="A317" t="s">
        <v>652</v>
      </c>
      <c r="B317" t="s">
        <v>610</v>
      </c>
      <c r="C317" t="s">
        <v>18</v>
      </c>
      <c r="D317">
        <v>28</v>
      </c>
      <c r="E317">
        <v>1251</v>
      </c>
      <c r="F317">
        <v>11500000</v>
      </c>
      <c r="G317" t="s">
        <v>653</v>
      </c>
      <c r="H317">
        <f t="shared" si="16"/>
        <v>0</v>
      </c>
      <c r="I317">
        <v>61</v>
      </c>
      <c r="J317">
        <v>1.4608695652173913</v>
      </c>
      <c r="K317">
        <f t="shared" si="17"/>
        <v>0</v>
      </c>
      <c r="L317">
        <f t="shared" si="18"/>
        <v>1</v>
      </c>
      <c r="M317">
        <v>10</v>
      </c>
      <c r="N317">
        <v>274</v>
      </c>
      <c r="O317">
        <f t="shared" si="19"/>
        <v>1</v>
      </c>
      <c r="P317">
        <v>0.52200000000000002</v>
      </c>
    </row>
    <row r="318" spans="1:16" x14ac:dyDescent="0.2">
      <c r="A318" t="s">
        <v>654</v>
      </c>
      <c r="B318" t="s">
        <v>610</v>
      </c>
      <c r="C318" t="s">
        <v>18</v>
      </c>
      <c r="D318">
        <v>23</v>
      </c>
      <c r="E318">
        <v>802</v>
      </c>
      <c r="F318">
        <v>11003782</v>
      </c>
      <c r="G318" t="s">
        <v>655</v>
      </c>
      <c r="H318">
        <f t="shared" si="16"/>
        <v>0</v>
      </c>
      <c r="I318">
        <v>82</v>
      </c>
      <c r="J318">
        <v>2.5691056910569108</v>
      </c>
      <c r="K318">
        <f t="shared" si="17"/>
        <v>0</v>
      </c>
      <c r="L318">
        <f t="shared" si="18"/>
        <v>1</v>
      </c>
      <c r="M318">
        <v>31</v>
      </c>
      <c r="N318">
        <v>263</v>
      </c>
      <c r="O318">
        <f t="shared" si="19"/>
        <v>1</v>
      </c>
      <c r="P318">
        <v>0.53700000000000003</v>
      </c>
    </row>
    <row r="319" spans="1:16" x14ac:dyDescent="0.2">
      <c r="A319" t="s">
        <v>656</v>
      </c>
      <c r="B319" t="s">
        <v>610</v>
      </c>
      <c r="C319" t="s">
        <v>18</v>
      </c>
      <c r="D319">
        <v>27</v>
      </c>
      <c r="E319">
        <v>715</v>
      </c>
      <c r="F319">
        <v>10865952</v>
      </c>
      <c r="G319" t="s">
        <v>657</v>
      </c>
      <c r="H319">
        <f t="shared" si="16"/>
        <v>0</v>
      </c>
      <c r="I319">
        <v>61</v>
      </c>
      <c r="J319">
        <v>1.9367088607594938</v>
      </c>
      <c r="K319">
        <f t="shared" si="17"/>
        <v>0</v>
      </c>
      <c r="L319">
        <f t="shared" si="18"/>
        <v>1</v>
      </c>
      <c r="M319">
        <v>24</v>
      </c>
      <c r="N319">
        <v>195</v>
      </c>
      <c r="O319">
        <f t="shared" si="19"/>
        <v>1</v>
      </c>
      <c r="P319">
        <v>0.498</v>
      </c>
    </row>
    <row r="320" spans="1:16" x14ac:dyDescent="0.2">
      <c r="A320" t="s">
        <v>658</v>
      </c>
      <c r="B320" t="s">
        <v>610</v>
      </c>
      <c r="C320" t="s">
        <v>18</v>
      </c>
      <c r="D320">
        <v>19</v>
      </c>
      <c r="E320">
        <v>1392</v>
      </c>
      <c r="F320">
        <v>9757440</v>
      </c>
      <c r="G320" t="s">
        <v>659</v>
      </c>
      <c r="H320">
        <f t="shared" si="16"/>
        <v>0</v>
      </c>
      <c r="I320">
        <v>82</v>
      </c>
      <c r="J320">
        <v>1.3187500000000001</v>
      </c>
      <c r="K320">
        <f t="shared" si="17"/>
        <v>0</v>
      </c>
      <c r="L320">
        <f t="shared" si="18"/>
        <v>1</v>
      </c>
      <c r="M320">
        <v>36</v>
      </c>
      <c r="N320">
        <v>336</v>
      </c>
      <c r="O320">
        <f t="shared" si="19"/>
        <v>1</v>
      </c>
      <c r="P320">
        <v>0.48799999999999999</v>
      </c>
    </row>
    <row r="321" spans="1:16" x14ac:dyDescent="0.2">
      <c r="A321" t="s">
        <v>660</v>
      </c>
      <c r="B321" t="s">
        <v>610</v>
      </c>
      <c r="C321" t="s">
        <v>18</v>
      </c>
      <c r="D321">
        <v>22</v>
      </c>
      <c r="E321">
        <v>472</v>
      </c>
      <c r="F321">
        <v>9571712</v>
      </c>
      <c r="G321" t="s">
        <v>661</v>
      </c>
      <c r="H321">
        <f t="shared" si="16"/>
        <v>0</v>
      </c>
      <c r="I321">
        <v>60</v>
      </c>
      <c r="J321">
        <v>2</v>
      </c>
      <c r="K321">
        <f t="shared" si="17"/>
        <v>0</v>
      </c>
      <c r="L321">
        <f t="shared" si="18"/>
        <v>1</v>
      </c>
      <c r="M321">
        <v>31</v>
      </c>
      <c r="N321">
        <v>161</v>
      </c>
      <c r="O321">
        <f t="shared" si="19"/>
        <v>1</v>
      </c>
      <c r="P321">
        <v>0.54800000000000004</v>
      </c>
    </row>
    <row r="322" spans="1:16" x14ac:dyDescent="0.2">
      <c r="A322" t="s">
        <v>662</v>
      </c>
      <c r="B322" t="s">
        <v>610</v>
      </c>
      <c r="C322" t="s">
        <v>18</v>
      </c>
      <c r="D322">
        <v>21</v>
      </c>
      <c r="E322">
        <v>1204</v>
      </c>
      <c r="F322">
        <v>9166800</v>
      </c>
      <c r="G322" t="s">
        <v>663</v>
      </c>
      <c r="H322">
        <f t="shared" ref="H322:H385" si="20">IF(B322="Forward", 1, 0)</f>
        <v>0</v>
      </c>
      <c r="I322">
        <v>57</v>
      </c>
      <c r="J322">
        <v>2.2906403940886699</v>
      </c>
      <c r="K322">
        <f t="shared" ref="K322:K385" si="21">IF(C322="East", 1, 0)</f>
        <v>0</v>
      </c>
      <c r="L322">
        <f t="shared" ref="L322:L385" si="22">IF(C322="West", 1, 0)</f>
        <v>1</v>
      </c>
      <c r="M322">
        <v>13</v>
      </c>
      <c r="N322">
        <v>252</v>
      </c>
      <c r="O322">
        <f t="shared" ref="O322:O385" si="23">IF($B322="Guard", 1, 0)</f>
        <v>1</v>
      </c>
      <c r="P322">
        <v>0.48699999999999999</v>
      </c>
    </row>
    <row r="323" spans="1:16" x14ac:dyDescent="0.2">
      <c r="A323" t="s">
        <v>664</v>
      </c>
      <c r="B323" t="s">
        <v>610</v>
      </c>
      <c r="C323" t="s">
        <v>18</v>
      </c>
      <c r="D323">
        <v>24</v>
      </c>
      <c r="E323">
        <v>442</v>
      </c>
      <c r="F323">
        <v>8817143</v>
      </c>
      <c r="G323" t="s">
        <v>665</v>
      </c>
      <c r="H323">
        <f t="shared" si="20"/>
        <v>0</v>
      </c>
      <c r="I323">
        <v>64</v>
      </c>
      <c r="J323">
        <v>5.395833333333333</v>
      </c>
      <c r="K323">
        <f t="shared" si="21"/>
        <v>0</v>
      </c>
      <c r="L323">
        <f t="shared" si="22"/>
        <v>1</v>
      </c>
      <c r="M323">
        <v>6</v>
      </c>
      <c r="N323">
        <v>140</v>
      </c>
      <c r="O323">
        <f t="shared" si="23"/>
        <v>1</v>
      </c>
      <c r="P323">
        <v>0.48499999999999999</v>
      </c>
    </row>
    <row r="324" spans="1:16" x14ac:dyDescent="0.2">
      <c r="A324" t="s">
        <v>666</v>
      </c>
      <c r="B324" t="s">
        <v>610</v>
      </c>
      <c r="C324" t="s">
        <v>18</v>
      </c>
      <c r="D324">
        <v>23</v>
      </c>
      <c r="E324">
        <v>1461</v>
      </c>
      <c r="F324">
        <v>8099627</v>
      </c>
      <c r="G324" t="s">
        <v>667</v>
      </c>
      <c r="H324">
        <f t="shared" si="20"/>
        <v>0</v>
      </c>
      <c r="I324">
        <v>87</v>
      </c>
      <c r="J324">
        <v>2.396551724137931</v>
      </c>
      <c r="K324">
        <f t="shared" si="21"/>
        <v>0</v>
      </c>
      <c r="L324">
        <f t="shared" si="22"/>
        <v>1</v>
      </c>
      <c r="M324">
        <v>27</v>
      </c>
      <c r="N324">
        <v>203</v>
      </c>
      <c r="O324">
        <f t="shared" si="23"/>
        <v>1</v>
      </c>
      <c r="P324">
        <v>0.52300000000000002</v>
      </c>
    </row>
    <row r="325" spans="1:16" x14ac:dyDescent="0.2">
      <c r="A325" t="s">
        <v>668</v>
      </c>
      <c r="B325" t="s">
        <v>610</v>
      </c>
      <c r="C325" t="s">
        <v>18</v>
      </c>
      <c r="D325">
        <v>21</v>
      </c>
      <c r="E325">
        <v>1830</v>
      </c>
      <c r="F325">
        <v>8049360</v>
      </c>
      <c r="G325" t="s">
        <v>669</v>
      </c>
      <c r="H325">
        <f t="shared" si="20"/>
        <v>0</v>
      </c>
      <c r="I325">
        <v>64</v>
      </c>
      <c r="J325">
        <v>2.0177935943060499</v>
      </c>
      <c r="K325">
        <f t="shared" si="21"/>
        <v>0</v>
      </c>
      <c r="L325">
        <f t="shared" si="22"/>
        <v>1</v>
      </c>
      <c r="M325">
        <v>36</v>
      </c>
      <c r="N325">
        <v>527</v>
      </c>
      <c r="O325">
        <f t="shared" si="23"/>
        <v>1</v>
      </c>
      <c r="P325">
        <v>0.55000000000000004</v>
      </c>
    </row>
    <row r="326" spans="1:16" x14ac:dyDescent="0.2">
      <c r="A326" t="s">
        <v>670</v>
      </c>
      <c r="B326" t="s">
        <v>610</v>
      </c>
      <c r="C326" t="s">
        <v>18</v>
      </c>
      <c r="D326">
        <v>21</v>
      </c>
      <c r="E326">
        <v>180</v>
      </c>
      <c r="F326">
        <v>6104280</v>
      </c>
      <c r="G326" t="s">
        <v>671</v>
      </c>
      <c r="H326">
        <f t="shared" si="20"/>
        <v>0</v>
      </c>
      <c r="I326">
        <v>17</v>
      </c>
      <c r="J326">
        <v>0.8571428571428571</v>
      </c>
      <c r="K326">
        <f t="shared" si="21"/>
        <v>0</v>
      </c>
      <c r="L326">
        <f t="shared" si="22"/>
        <v>1</v>
      </c>
      <c r="M326">
        <v>9</v>
      </c>
      <c r="N326">
        <v>104</v>
      </c>
      <c r="O326">
        <f t="shared" si="23"/>
        <v>1</v>
      </c>
      <c r="P326">
        <v>0.44900000000000001</v>
      </c>
    </row>
    <row r="327" spans="1:16" x14ac:dyDescent="0.2">
      <c r="A327" t="s">
        <v>672</v>
      </c>
      <c r="B327" t="s">
        <v>610</v>
      </c>
      <c r="C327" t="s">
        <v>18</v>
      </c>
      <c r="D327">
        <v>24</v>
      </c>
      <c r="E327">
        <v>520</v>
      </c>
      <c r="F327">
        <v>5273826</v>
      </c>
      <c r="G327" t="s">
        <v>673</v>
      </c>
      <c r="H327">
        <f t="shared" si="20"/>
        <v>0</v>
      </c>
      <c r="I327">
        <v>23</v>
      </c>
      <c r="J327">
        <v>2.1666666666666665</v>
      </c>
      <c r="K327">
        <f t="shared" si="21"/>
        <v>0</v>
      </c>
      <c r="L327">
        <f t="shared" si="22"/>
        <v>1</v>
      </c>
      <c r="M327">
        <v>9</v>
      </c>
      <c r="N327">
        <v>161</v>
      </c>
      <c r="O327">
        <f t="shared" si="23"/>
        <v>1</v>
      </c>
      <c r="P327">
        <v>0.59699999999999998</v>
      </c>
    </row>
    <row r="328" spans="1:16" x14ac:dyDescent="0.2">
      <c r="A328" t="s">
        <v>674</v>
      </c>
      <c r="B328" t="s">
        <v>610</v>
      </c>
      <c r="C328" t="s">
        <v>18</v>
      </c>
      <c r="D328">
        <v>24</v>
      </c>
      <c r="E328">
        <v>1401</v>
      </c>
      <c r="F328">
        <v>5195501</v>
      </c>
      <c r="G328" t="s">
        <v>675</v>
      </c>
      <c r="H328">
        <f t="shared" si="20"/>
        <v>0</v>
      </c>
      <c r="I328">
        <v>52</v>
      </c>
      <c r="J328">
        <v>1.8843537414965987</v>
      </c>
      <c r="K328">
        <f t="shared" si="21"/>
        <v>0</v>
      </c>
      <c r="L328">
        <f t="shared" si="22"/>
        <v>1</v>
      </c>
      <c r="M328">
        <v>15</v>
      </c>
      <c r="N328">
        <v>235</v>
      </c>
      <c r="O328">
        <f t="shared" si="23"/>
        <v>1</v>
      </c>
      <c r="P328">
        <v>0.52</v>
      </c>
    </row>
    <row r="329" spans="1:16" x14ac:dyDescent="0.2">
      <c r="A329" t="s">
        <v>676</v>
      </c>
      <c r="B329" t="s">
        <v>610</v>
      </c>
      <c r="C329" t="s">
        <v>18</v>
      </c>
      <c r="D329">
        <v>22</v>
      </c>
      <c r="E329">
        <v>830</v>
      </c>
      <c r="F329">
        <v>4141320</v>
      </c>
      <c r="G329" t="s">
        <v>677</v>
      </c>
      <c r="H329">
        <f t="shared" si="20"/>
        <v>0</v>
      </c>
      <c r="I329">
        <v>27</v>
      </c>
      <c r="J329">
        <v>1.9528301886792452</v>
      </c>
      <c r="K329">
        <f t="shared" si="21"/>
        <v>0</v>
      </c>
      <c r="L329">
        <f t="shared" si="22"/>
        <v>1</v>
      </c>
      <c r="M329">
        <v>23</v>
      </c>
      <c r="N329">
        <v>166</v>
      </c>
      <c r="O329">
        <f t="shared" si="23"/>
        <v>1</v>
      </c>
      <c r="P329">
        <v>0.57099999999999995</v>
      </c>
    </row>
    <row r="330" spans="1:16" x14ac:dyDescent="0.2">
      <c r="A330" t="s">
        <v>678</v>
      </c>
      <c r="B330" t="s">
        <v>610</v>
      </c>
      <c r="C330" t="s">
        <v>18</v>
      </c>
      <c r="D330">
        <v>25</v>
      </c>
      <c r="E330">
        <v>248</v>
      </c>
      <c r="F330">
        <v>3925000</v>
      </c>
      <c r="G330" t="s">
        <v>679</v>
      </c>
      <c r="H330">
        <f t="shared" si="20"/>
        <v>0</v>
      </c>
      <c r="I330">
        <v>29</v>
      </c>
      <c r="J330">
        <v>4.4375</v>
      </c>
      <c r="K330">
        <f t="shared" si="21"/>
        <v>0</v>
      </c>
      <c r="L330">
        <f t="shared" si="22"/>
        <v>1</v>
      </c>
      <c r="M330">
        <v>9</v>
      </c>
      <c r="N330">
        <v>92</v>
      </c>
      <c r="O330">
        <f t="shared" si="23"/>
        <v>1</v>
      </c>
      <c r="P330">
        <v>0.54700000000000004</v>
      </c>
    </row>
    <row r="331" spans="1:16" x14ac:dyDescent="0.2">
      <c r="A331" t="s">
        <v>680</v>
      </c>
      <c r="B331" t="s">
        <v>610</v>
      </c>
      <c r="C331" t="s">
        <v>18</v>
      </c>
      <c r="D331">
        <v>20</v>
      </c>
      <c r="E331">
        <v>753</v>
      </c>
      <c r="F331">
        <v>3831840</v>
      </c>
      <c r="G331" t="s">
        <v>681</v>
      </c>
      <c r="H331">
        <f t="shared" si="20"/>
        <v>0</v>
      </c>
      <c r="I331">
        <v>77</v>
      </c>
      <c r="J331">
        <v>3.3586956521739131</v>
      </c>
      <c r="K331">
        <f t="shared" si="21"/>
        <v>0</v>
      </c>
      <c r="L331">
        <f t="shared" si="22"/>
        <v>1</v>
      </c>
      <c r="M331">
        <v>28</v>
      </c>
      <c r="N331">
        <v>173</v>
      </c>
      <c r="O331">
        <f t="shared" si="23"/>
        <v>1</v>
      </c>
      <c r="P331">
        <v>0.56899999999999995</v>
      </c>
    </row>
    <row r="332" spans="1:16" x14ac:dyDescent="0.2">
      <c r="A332" t="s">
        <v>682</v>
      </c>
      <c r="B332" t="s">
        <v>610</v>
      </c>
      <c r="C332" t="s">
        <v>18</v>
      </c>
      <c r="D332">
        <v>19</v>
      </c>
      <c r="E332">
        <v>343</v>
      </c>
      <c r="F332">
        <v>3640200</v>
      </c>
      <c r="G332" t="s">
        <v>683</v>
      </c>
      <c r="H332">
        <f t="shared" si="20"/>
        <v>0</v>
      </c>
      <c r="I332">
        <v>38</v>
      </c>
      <c r="J332">
        <v>3.6470588235294117</v>
      </c>
      <c r="K332">
        <f t="shared" si="21"/>
        <v>0</v>
      </c>
      <c r="L332">
        <f t="shared" si="22"/>
        <v>1</v>
      </c>
      <c r="M332">
        <v>10</v>
      </c>
      <c r="N332">
        <v>71</v>
      </c>
      <c r="O332">
        <f t="shared" si="23"/>
        <v>1</v>
      </c>
      <c r="P332">
        <v>0.44500000000000001</v>
      </c>
    </row>
    <row r="333" spans="1:16" x14ac:dyDescent="0.2">
      <c r="A333" t="s">
        <v>684</v>
      </c>
      <c r="B333" t="s">
        <v>610</v>
      </c>
      <c r="C333" t="s">
        <v>18</v>
      </c>
      <c r="D333">
        <v>34</v>
      </c>
      <c r="E333">
        <v>279</v>
      </c>
      <c r="F333">
        <v>3623000</v>
      </c>
      <c r="G333" t="s">
        <v>685</v>
      </c>
      <c r="H333">
        <f t="shared" si="20"/>
        <v>0</v>
      </c>
      <c r="I333">
        <v>38</v>
      </c>
      <c r="J333">
        <v>2.0769230769230771</v>
      </c>
      <c r="K333">
        <f t="shared" si="21"/>
        <v>0</v>
      </c>
      <c r="L333">
        <f t="shared" si="22"/>
        <v>1</v>
      </c>
      <c r="M333">
        <v>17</v>
      </c>
      <c r="N333">
        <v>93</v>
      </c>
      <c r="O333">
        <f t="shared" si="23"/>
        <v>1</v>
      </c>
      <c r="P333">
        <v>0.48399999999999999</v>
      </c>
    </row>
    <row r="334" spans="1:16" x14ac:dyDescent="0.2">
      <c r="A334" t="s">
        <v>686</v>
      </c>
      <c r="B334" t="s">
        <v>610</v>
      </c>
      <c r="C334" t="s">
        <v>18</v>
      </c>
      <c r="D334">
        <v>26</v>
      </c>
      <c r="E334">
        <v>553</v>
      </c>
      <c r="F334">
        <v>3516284</v>
      </c>
      <c r="G334" t="s">
        <v>687</v>
      </c>
      <c r="H334">
        <f t="shared" si="20"/>
        <v>0</v>
      </c>
      <c r="I334">
        <v>26</v>
      </c>
      <c r="J334">
        <v>2.8222222222222224</v>
      </c>
      <c r="K334">
        <f t="shared" si="21"/>
        <v>0</v>
      </c>
      <c r="L334">
        <f t="shared" si="22"/>
        <v>1</v>
      </c>
      <c r="M334">
        <v>36</v>
      </c>
      <c r="N334">
        <v>107</v>
      </c>
      <c r="O334">
        <f t="shared" si="23"/>
        <v>1</v>
      </c>
      <c r="P334">
        <v>0.503</v>
      </c>
    </row>
    <row r="335" spans="1:16" x14ac:dyDescent="0.2">
      <c r="A335" t="s">
        <v>688</v>
      </c>
      <c r="B335" t="s">
        <v>610</v>
      </c>
      <c r="C335" t="s">
        <v>18</v>
      </c>
      <c r="D335">
        <v>22</v>
      </c>
      <c r="E335">
        <v>508</v>
      </c>
      <c r="F335">
        <v>3113160</v>
      </c>
      <c r="G335" t="s">
        <v>689</v>
      </c>
      <c r="H335">
        <f t="shared" si="20"/>
        <v>0</v>
      </c>
      <c r="I335">
        <v>47</v>
      </c>
      <c r="J335">
        <v>1.4782608695652173</v>
      </c>
      <c r="K335">
        <f t="shared" si="21"/>
        <v>0</v>
      </c>
      <c r="L335">
        <f t="shared" si="22"/>
        <v>1</v>
      </c>
      <c r="M335">
        <v>22</v>
      </c>
      <c r="N335">
        <v>144</v>
      </c>
      <c r="O335">
        <f t="shared" si="23"/>
        <v>1</v>
      </c>
      <c r="P335">
        <v>0.502</v>
      </c>
    </row>
    <row r="336" spans="1:16" x14ac:dyDescent="0.2">
      <c r="A336" t="s">
        <v>690</v>
      </c>
      <c r="B336" t="s">
        <v>610</v>
      </c>
      <c r="C336" t="s">
        <v>18</v>
      </c>
      <c r="D336">
        <v>29</v>
      </c>
      <c r="E336">
        <v>396</v>
      </c>
      <c r="F336">
        <v>3100000</v>
      </c>
      <c r="G336" t="s">
        <v>691</v>
      </c>
      <c r="H336">
        <f t="shared" si="20"/>
        <v>0</v>
      </c>
      <c r="I336">
        <v>79</v>
      </c>
      <c r="J336">
        <v>3.1780821917808217</v>
      </c>
      <c r="K336">
        <f t="shared" si="21"/>
        <v>0</v>
      </c>
      <c r="L336">
        <f t="shared" si="22"/>
        <v>1</v>
      </c>
      <c r="M336">
        <v>14</v>
      </c>
      <c r="N336">
        <v>134</v>
      </c>
      <c r="O336">
        <f t="shared" si="23"/>
        <v>1</v>
      </c>
      <c r="P336">
        <v>0.502</v>
      </c>
    </row>
    <row r="337" spans="1:16" x14ac:dyDescent="0.2">
      <c r="A337" t="s">
        <v>692</v>
      </c>
      <c r="B337" t="s">
        <v>610</v>
      </c>
      <c r="C337" t="s">
        <v>18</v>
      </c>
      <c r="D337">
        <v>28</v>
      </c>
      <c r="E337">
        <v>411</v>
      </c>
      <c r="F337">
        <v>3000000</v>
      </c>
      <c r="G337" t="s">
        <v>693</v>
      </c>
      <c r="H337">
        <f t="shared" si="20"/>
        <v>0</v>
      </c>
      <c r="I337">
        <v>36</v>
      </c>
      <c r="J337">
        <v>2.4545454545454546</v>
      </c>
      <c r="K337">
        <f t="shared" si="21"/>
        <v>0</v>
      </c>
      <c r="L337">
        <f t="shared" si="22"/>
        <v>1</v>
      </c>
      <c r="M337">
        <v>7</v>
      </c>
      <c r="N337">
        <v>54</v>
      </c>
      <c r="O337">
        <f t="shared" si="23"/>
        <v>1</v>
      </c>
      <c r="P337">
        <v>0.51</v>
      </c>
    </row>
    <row r="338" spans="1:16" x14ac:dyDescent="0.2">
      <c r="A338" t="s">
        <v>694</v>
      </c>
      <c r="B338" t="s">
        <v>610</v>
      </c>
      <c r="C338" t="s">
        <v>18</v>
      </c>
      <c r="D338">
        <v>22</v>
      </c>
      <c r="E338">
        <v>669</v>
      </c>
      <c r="F338">
        <v>2892000</v>
      </c>
      <c r="G338" t="s">
        <v>695</v>
      </c>
      <c r="H338">
        <f t="shared" si="20"/>
        <v>0</v>
      </c>
      <c r="I338">
        <v>29</v>
      </c>
      <c r="J338">
        <v>1.5538461538461539</v>
      </c>
      <c r="K338">
        <f t="shared" si="21"/>
        <v>0</v>
      </c>
      <c r="L338">
        <f t="shared" si="22"/>
        <v>1</v>
      </c>
      <c r="M338">
        <v>15</v>
      </c>
      <c r="N338">
        <v>155</v>
      </c>
      <c r="O338">
        <f t="shared" si="23"/>
        <v>1</v>
      </c>
      <c r="P338">
        <v>0.502</v>
      </c>
    </row>
    <row r="339" spans="1:16" x14ac:dyDescent="0.2">
      <c r="A339" t="s">
        <v>696</v>
      </c>
      <c r="B339" t="s">
        <v>610</v>
      </c>
      <c r="C339" t="s">
        <v>18</v>
      </c>
      <c r="D339">
        <v>20</v>
      </c>
      <c r="E339">
        <v>101</v>
      </c>
      <c r="F339">
        <v>2816760</v>
      </c>
      <c r="G339" t="s">
        <v>697</v>
      </c>
      <c r="H339">
        <f t="shared" si="20"/>
        <v>0</v>
      </c>
      <c r="I339">
        <v>16</v>
      </c>
      <c r="J339">
        <v>1.6470588235294117</v>
      </c>
      <c r="K339">
        <f t="shared" si="21"/>
        <v>0</v>
      </c>
      <c r="L339">
        <f t="shared" si="22"/>
        <v>1</v>
      </c>
      <c r="M339">
        <v>3</v>
      </c>
      <c r="N339">
        <v>78</v>
      </c>
      <c r="O339">
        <f t="shared" si="23"/>
        <v>1</v>
      </c>
      <c r="P339">
        <v>0.47299999999999998</v>
      </c>
    </row>
    <row r="340" spans="1:16" x14ac:dyDescent="0.2">
      <c r="A340" t="s">
        <v>698</v>
      </c>
      <c r="B340" t="s">
        <v>610</v>
      </c>
      <c r="C340" t="s">
        <v>18</v>
      </c>
      <c r="D340">
        <v>26</v>
      </c>
      <c r="E340">
        <v>370</v>
      </c>
      <c r="F340">
        <v>2750000</v>
      </c>
      <c r="G340" t="s">
        <v>699</v>
      </c>
      <c r="H340">
        <f t="shared" si="20"/>
        <v>0</v>
      </c>
      <c r="I340">
        <v>64</v>
      </c>
      <c r="J340">
        <v>2.1052631578947367</v>
      </c>
      <c r="K340">
        <f t="shared" si="21"/>
        <v>0</v>
      </c>
      <c r="L340">
        <f t="shared" si="22"/>
        <v>1</v>
      </c>
      <c r="M340">
        <v>15</v>
      </c>
      <c r="N340">
        <v>170</v>
      </c>
      <c r="O340">
        <f t="shared" si="23"/>
        <v>1</v>
      </c>
      <c r="P340">
        <v>0.52600000000000002</v>
      </c>
    </row>
    <row r="341" spans="1:16" x14ac:dyDescent="0.2">
      <c r="A341" t="s">
        <v>700</v>
      </c>
      <c r="B341" t="s">
        <v>610</v>
      </c>
      <c r="C341" t="s">
        <v>18</v>
      </c>
      <c r="D341">
        <v>22</v>
      </c>
      <c r="E341">
        <v>316</v>
      </c>
      <c r="F341">
        <v>2651040</v>
      </c>
      <c r="G341" t="s">
        <v>701</v>
      </c>
      <c r="H341">
        <f t="shared" si="20"/>
        <v>0</v>
      </c>
      <c r="I341">
        <v>54</v>
      </c>
      <c r="J341">
        <v>1.4651162790697674</v>
      </c>
      <c r="K341">
        <f t="shared" si="21"/>
        <v>0</v>
      </c>
      <c r="L341">
        <f t="shared" si="22"/>
        <v>1</v>
      </c>
      <c r="M341">
        <v>28</v>
      </c>
      <c r="N341">
        <v>156</v>
      </c>
      <c r="O341">
        <f t="shared" si="23"/>
        <v>1</v>
      </c>
      <c r="P341">
        <v>0.45900000000000002</v>
      </c>
    </row>
    <row r="342" spans="1:16" x14ac:dyDescent="0.2">
      <c r="A342" t="s">
        <v>702</v>
      </c>
      <c r="B342" t="s">
        <v>610</v>
      </c>
      <c r="C342" t="s">
        <v>18</v>
      </c>
      <c r="D342">
        <v>25</v>
      </c>
      <c r="E342">
        <v>532</v>
      </c>
      <c r="F342">
        <v>2545320</v>
      </c>
      <c r="G342" t="s">
        <v>703</v>
      </c>
      <c r="H342">
        <f t="shared" si="20"/>
        <v>0</v>
      </c>
      <c r="I342">
        <v>46</v>
      </c>
      <c r="J342">
        <v>2.25</v>
      </c>
      <c r="K342">
        <f t="shared" si="21"/>
        <v>0</v>
      </c>
      <c r="L342">
        <f t="shared" si="22"/>
        <v>1</v>
      </c>
      <c r="M342">
        <v>8</v>
      </c>
      <c r="N342">
        <v>160</v>
      </c>
      <c r="O342">
        <f t="shared" si="23"/>
        <v>1</v>
      </c>
      <c r="P342">
        <v>0.54700000000000004</v>
      </c>
    </row>
    <row r="343" spans="1:16" x14ac:dyDescent="0.2">
      <c r="A343" t="s">
        <v>704</v>
      </c>
      <c r="B343" t="s">
        <v>610</v>
      </c>
      <c r="C343" t="s">
        <v>18</v>
      </c>
      <c r="D343">
        <v>23</v>
      </c>
      <c r="E343">
        <v>353</v>
      </c>
      <c r="F343">
        <v>2303040</v>
      </c>
      <c r="G343" t="s">
        <v>705</v>
      </c>
      <c r="H343">
        <f t="shared" si="20"/>
        <v>0</v>
      </c>
      <c r="I343">
        <v>20</v>
      </c>
      <c r="J343">
        <v>2.5531914893617023</v>
      </c>
      <c r="K343">
        <f t="shared" si="21"/>
        <v>0</v>
      </c>
      <c r="L343">
        <f t="shared" si="22"/>
        <v>1</v>
      </c>
      <c r="M343">
        <v>6</v>
      </c>
      <c r="N343">
        <v>91</v>
      </c>
      <c r="O343">
        <f t="shared" si="23"/>
        <v>1</v>
      </c>
      <c r="P343">
        <v>0.56999999999999995</v>
      </c>
    </row>
    <row r="344" spans="1:16" x14ac:dyDescent="0.2">
      <c r="A344" t="s">
        <v>706</v>
      </c>
      <c r="B344" t="s">
        <v>610</v>
      </c>
      <c r="C344" t="s">
        <v>18</v>
      </c>
      <c r="D344">
        <v>21</v>
      </c>
      <c r="E344">
        <v>502</v>
      </c>
      <c r="F344">
        <v>2252040</v>
      </c>
      <c r="G344" t="s">
        <v>707</v>
      </c>
      <c r="H344">
        <f t="shared" si="20"/>
        <v>0</v>
      </c>
      <c r="I344">
        <v>18</v>
      </c>
      <c r="J344">
        <v>2.0697674418604652</v>
      </c>
      <c r="K344">
        <f t="shared" si="21"/>
        <v>0</v>
      </c>
      <c r="L344">
        <f t="shared" si="22"/>
        <v>1</v>
      </c>
      <c r="M344">
        <v>8</v>
      </c>
      <c r="N344">
        <v>140</v>
      </c>
      <c r="O344">
        <f t="shared" si="23"/>
        <v>1</v>
      </c>
      <c r="P344">
        <v>0.56899999999999995</v>
      </c>
    </row>
    <row r="345" spans="1:16" x14ac:dyDescent="0.2">
      <c r="A345" t="s">
        <v>708</v>
      </c>
      <c r="B345" t="s">
        <v>610</v>
      </c>
      <c r="C345" t="s">
        <v>18</v>
      </c>
      <c r="D345">
        <v>24</v>
      </c>
      <c r="E345">
        <v>184</v>
      </c>
      <c r="F345">
        <v>2100000</v>
      </c>
      <c r="G345" t="s">
        <v>709</v>
      </c>
      <c r="H345">
        <f t="shared" si="20"/>
        <v>0</v>
      </c>
      <c r="I345">
        <v>30</v>
      </c>
      <c r="J345">
        <v>2.6111111111111112</v>
      </c>
      <c r="K345">
        <f t="shared" si="21"/>
        <v>0</v>
      </c>
      <c r="L345">
        <f t="shared" si="22"/>
        <v>1</v>
      </c>
      <c r="M345">
        <v>9</v>
      </c>
      <c r="N345">
        <v>128</v>
      </c>
      <c r="O345">
        <f t="shared" si="23"/>
        <v>1</v>
      </c>
      <c r="P345">
        <v>0.57599999999999996</v>
      </c>
    </row>
    <row r="346" spans="1:16" x14ac:dyDescent="0.2">
      <c r="A346" t="s">
        <v>710</v>
      </c>
      <c r="B346" t="s">
        <v>610</v>
      </c>
      <c r="C346" t="s">
        <v>18</v>
      </c>
      <c r="D346">
        <v>21</v>
      </c>
      <c r="E346">
        <v>612</v>
      </c>
      <c r="F346">
        <v>2063280</v>
      </c>
      <c r="G346" t="s">
        <v>711</v>
      </c>
      <c r="H346">
        <f t="shared" si="20"/>
        <v>0</v>
      </c>
      <c r="I346">
        <v>26</v>
      </c>
      <c r="J346">
        <v>1.9411764705882353</v>
      </c>
      <c r="K346">
        <f t="shared" si="21"/>
        <v>0</v>
      </c>
      <c r="L346">
        <f t="shared" si="22"/>
        <v>1</v>
      </c>
      <c r="M346">
        <v>9</v>
      </c>
      <c r="N346">
        <v>92</v>
      </c>
      <c r="O346">
        <f t="shared" si="23"/>
        <v>1</v>
      </c>
      <c r="P346">
        <v>0.53500000000000003</v>
      </c>
    </row>
    <row r="347" spans="1:16" x14ac:dyDescent="0.2">
      <c r="A347" t="s">
        <v>712</v>
      </c>
      <c r="B347" t="s">
        <v>610</v>
      </c>
      <c r="C347" t="s">
        <v>18</v>
      </c>
      <c r="D347">
        <v>19</v>
      </c>
      <c r="E347">
        <v>658</v>
      </c>
      <c r="F347">
        <v>2000000</v>
      </c>
      <c r="G347" t="s">
        <v>713</v>
      </c>
      <c r="H347">
        <f t="shared" si="20"/>
        <v>0</v>
      </c>
      <c r="I347">
        <v>56</v>
      </c>
      <c r="J347">
        <v>1.6099290780141844</v>
      </c>
      <c r="K347">
        <f t="shared" si="21"/>
        <v>0</v>
      </c>
      <c r="L347">
        <f t="shared" si="22"/>
        <v>1</v>
      </c>
      <c r="M347">
        <v>11</v>
      </c>
      <c r="N347">
        <v>211</v>
      </c>
      <c r="O347">
        <f t="shared" si="23"/>
        <v>1</v>
      </c>
      <c r="P347">
        <v>0.45400000000000001</v>
      </c>
    </row>
    <row r="348" spans="1:16" x14ac:dyDescent="0.2">
      <c r="A348" t="s">
        <v>714</v>
      </c>
      <c r="B348" t="s">
        <v>610</v>
      </c>
      <c r="C348" t="s">
        <v>18</v>
      </c>
      <c r="D348">
        <v>26</v>
      </c>
      <c r="E348">
        <v>505</v>
      </c>
      <c r="F348">
        <v>1977011</v>
      </c>
      <c r="G348" t="s">
        <v>715</v>
      </c>
      <c r="H348">
        <f t="shared" si="20"/>
        <v>0</v>
      </c>
      <c r="I348">
        <v>36</v>
      </c>
      <c r="J348">
        <v>3.6166666666666667</v>
      </c>
      <c r="K348">
        <f t="shared" si="21"/>
        <v>0</v>
      </c>
      <c r="L348">
        <f t="shared" si="22"/>
        <v>1</v>
      </c>
      <c r="M348">
        <v>16</v>
      </c>
      <c r="N348">
        <v>144</v>
      </c>
      <c r="O348">
        <f t="shared" si="23"/>
        <v>1</v>
      </c>
      <c r="P348">
        <v>0.57599999999999996</v>
      </c>
    </row>
    <row r="349" spans="1:16" x14ac:dyDescent="0.2">
      <c r="A349" t="s">
        <v>716</v>
      </c>
      <c r="B349" t="s">
        <v>610</v>
      </c>
      <c r="C349" t="s">
        <v>18</v>
      </c>
      <c r="D349">
        <v>22</v>
      </c>
      <c r="E349">
        <v>625</v>
      </c>
      <c r="F349">
        <v>1936440</v>
      </c>
      <c r="G349" t="s">
        <v>717</v>
      </c>
      <c r="H349">
        <f t="shared" si="20"/>
        <v>0</v>
      </c>
      <c r="I349">
        <v>41</v>
      </c>
      <c r="J349">
        <v>2</v>
      </c>
      <c r="K349">
        <f t="shared" si="21"/>
        <v>0</v>
      </c>
      <c r="L349">
        <f t="shared" si="22"/>
        <v>1</v>
      </c>
      <c r="M349">
        <v>16</v>
      </c>
      <c r="N349">
        <v>210</v>
      </c>
      <c r="O349">
        <f t="shared" si="23"/>
        <v>1</v>
      </c>
      <c r="P349">
        <v>0.58599999999999997</v>
      </c>
    </row>
    <row r="350" spans="1:16" x14ac:dyDescent="0.2">
      <c r="A350" t="s">
        <v>718</v>
      </c>
      <c r="B350" t="s">
        <v>610</v>
      </c>
      <c r="C350" t="s">
        <v>18</v>
      </c>
      <c r="D350">
        <v>28</v>
      </c>
      <c r="E350">
        <v>373</v>
      </c>
      <c r="F350">
        <v>1762796</v>
      </c>
      <c r="G350" t="s">
        <v>719</v>
      </c>
      <c r="H350">
        <f t="shared" si="20"/>
        <v>0</v>
      </c>
      <c r="I350">
        <v>38</v>
      </c>
      <c r="J350">
        <v>2.4333333333333331</v>
      </c>
      <c r="K350">
        <f t="shared" si="21"/>
        <v>0</v>
      </c>
      <c r="L350">
        <f t="shared" si="22"/>
        <v>1</v>
      </c>
      <c r="M350">
        <v>8</v>
      </c>
      <c r="N350">
        <v>180</v>
      </c>
      <c r="O350">
        <f t="shared" si="23"/>
        <v>1</v>
      </c>
      <c r="P350">
        <v>0.60799999999999998</v>
      </c>
    </row>
    <row r="351" spans="1:16" x14ac:dyDescent="0.2">
      <c r="A351" t="s">
        <v>720</v>
      </c>
      <c r="B351" t="s">
        <v>610</v>
      </c>
      <c r="C351" t="s">
        <v>18</v>
      </c>
      <c r="D351">
        <v>24</v>
      </c>
      <c r="E351">
        <v>385</v>
      </c>
      <c r="F351">
        <v>1762796</v>
      </c>
      <c r="G351" t="s">
        <v>721</v>
      </c>
      <c r="H351">
        <f t="shared" si="20"/>
        <v>0</v>
      </c>
      <c r="I351">
        <v>31</v>
      </c>
      <c r="J351">
        <v>2</v>
      </c>
      <c r="K351">
        <f t="shared" si="21"/>
        <v>0</v>
      </c>
      <c r="L351">
        <f t="shared" si="22"/>
        <v>1</v>
      </c>
      <c r="M351">
        <v>22</v>
      </c>
      <c r="N351">
        <v>182</v>
      </c>
      <c r="O351">
        <f t="shared" si="23"/>
        <v>1</v>
      </c>
      <c r="P351">
        <v>0.48299999999999998</v>
      </c>
    </row>
    <row r="352" spans="1:16" x14ac:dyDescent="0.2">
      <c r="A352" t="s">
        <v>722</v>
      </c>
      <c r="B352" t="s">
        <v>610</v>
      </c>
      <c r="C352" t="s">
        <v>18</v>
      </c>
      <c r="D352">
        <v>20</v>
      </c>
      <c r="E352">
        <v>431</v>
      </c>
      <c r="F352">
        <v>1717981</v>
      </c>
      <c r="G352" t="s">
        <v>723</v>
      </c>
      <c r="H352">
        <f t="shared" si="20"/>
        <v>0</v>
      </c>
      <c r="I352">
        <v>19</v>
      </c>
      <c r="J352">
        <v>1.8021978021978022</v>
      </c>
      <c r="K352">
        <f t="shared" si="21"/>
        <v>0</v>
      </c>
      <c r="L352">
        <f t="shared" si="22"/>
        <v>1</v>
      </c>
      <c r="M352">
        <v>8</v>
      </c>
      <c r="N352">
        <v>99</v>
      </c>
      <c r="O352">
        <f t="shared" si="23"/>
        <v>1</v>
      </c>
      <c r="P352">
        <v>0.49299999999999999</v>
      </c>
    </row>
    <row r="353" spans="1:16" x14ac:dyDescent="0.2">
      <c r="A353" t="s">
        <v>724</v>
      </c>
      <c r="B353" t="s">
        <v>610</v>
      </c>
      <c r="C353" t="s">
        <v>18</v>
      </c>
      <c r="D353">
        <v>24</v>
      </c>
      <c r="E353">
        <v>857</v>
      </c>
      <c r="F353">
        <v>1663861</v>
      </c>
      <c r="G353" t="s">
        <v>725</v>
      </c>
      <c r="H353">
        <f t="shared" si="20"/>
        <v>0</v>
      </c>
      <c r="I353">
        <v>35</v>
      </c>
      <c r="J353">
        <v>2.9874999999999998</v>
      </c>
      <c r="K353">
        <f t="shared" si="21"/>
        <v>0</v>
      </c>
      <c r="L353">
        <f t="shared" si="22"/>
        <v>1</v>
      </c>
      <c r="M353">
        <v>1</v>
      </c>
      <c r="N353">
        <v>231</v>
      </c>
      <c r="O353">
        <f t="shared" si="23"/>
        <v>1</v>
      </c>
      <c r="P353">
        <v>0.58799999999999997</v>
      </c>
    </row>
    <row r="354" spans="1:16" x14ac:dyDescent="0.2">
      <c r="A354" t="s">
        <v>726</v>
      </c>
      <c r="B354" t="s">
        <v>610</v>
      </c>
      <c r="C354" t="s">
        <v>18</v>
      </c>
      <c r="D354">
        <v>31</v>
      </c>
      <c r="E354">
        <v>23</v>
      </c>
      <c r="F354">
        <v>1620564</v>
      </c>
      <c r="G354" t="s">
        <v>727</v>
      </c>
      <c r="H354">
        <f t="shared" si="20"/>
        <v>0</v>
      </c>
      <c r="I354">
        <v>1</v>
      </c>
      <c r="J354">
        <v>0.83333333333333337</v>
      </c>
      <c r="K354">
        <f t="shared" si="21"/>
        <v>0</v>
      </c>
      <c r="L354">
        <f t="shared" si="22"/>
        <v>1</v>
      </c>
      <c r="M354">
        <v>0</v>
      </c>
      <c r="N354">
        <v>4</v>
      </c>
      <c r="O354">
        <f t="shared" si="23"/>
        <v>1</v>
      </c>
      <c r="P354">
        <v>0.38900000000000001</v>
      </c>
    </row>
    <row r="355" spans="1:16" x14ac:dyDescent="0.2">
      <c r="A355" t="s">
        <v>728</v>
      </c>
      <c r="B355" t="s">
        <v>610</v>
      </c>
      <c r="C355" t="s">
        <v>18</v>
      </c>
      <c r="D355">
        <v>29</v>
      </c>
      <c r="E355">
        <v>190</v>
      </c>
      <c r="F355">
        <v>1620564</v>
      </c>
      <c r="G355" t="s">
        <v>729</v>
      </c>
      <c r="H355">
        <f t="shared" si="20"/>
        <v>0</v>
      </c>
      <c r="I355">
        <v>8</v>
      </c>
      <c r="J355">
        <v>2</v>
      </c>
      <c r="K355">
        <f t="shared" si="21"/>
        <v>0</v>
      </c>
      <c r="L355">
        <f t="shared" si="22"/>
        <v>1</v>
      </c>
      <c r="M355">
        <v>0</v>
      </c>
      <c r="N355">
        <v>42</v>
      </c>
      <c r="O355">
        <f t="shared" si="23"/>
        <v>1</v>
      </c>
      <c r="P355">
        <v>0.57099999999999995</v>
      </c>
    </row>
    <row r="356" spans="1:16" x14ac:dyDescent="0.2">
      <c r="A356" t="s">
        <v>730</v>
      </c>
      <c r="B356" t="s">
        <v>610</v>
      </c>
      <c r="C356" t="s">
        <v>18</v>
      </c>
      <c r="D356">
        <v>31</v>
      </c>
      <c r="E356">
        <v>133</v>
      </c>
      <c r="F356">
        <v>1620564</v>
      </c>
      <c r="G356" t="s">
        <v>731</v>
      </c>
      <c r="H356">
        <f t="shared" si="20"/>
        <v>0</v>
      </c>
      <c r="I356">
        <v>15</v>
      </c>
      <c r="J356">
        <v>1.7391304347826086</v>
      </c>
      <c r="K356">
        <f t="shared" si="21"/>
        <v>0</v>
      </c>
      <c r="L356">
        <f t="shared" si="22"/>
        <v>1</v>
      </c>
      <c r="M356">
        <v>5</v>
      </c>
      <c r="N356">
        <v>45</v>
      </c>
      <c r="O356">
        <f t="shared" si="23"/>
        <v>1</v>
      </c>
      <c r="P356">
        <v>0.5</v>
      </c>
    </row>
    <row r="357" spans="1:16" x14ac:dyDescent="0.2">
      <c r="A357" t="s">
        <v>732</v>
      </c>
      <c r="B357" t="s">
        <v>610</v>
      </c>
      <c r="C357" t="s">
        <v>18</v>
      </c>
      <c r="D357">
        <v>25</v>
      </c>
      <c r="E357">
        <v>416</v>
      </c>
      <c r="F357">
        <v>1620564</v>
      </c>
      <c r="G357" t="s">
        <v>733</v>
      </c>
      <c r="H357">
        <f t="shared" si="20"/>
        <v>0</v>
      </c>
      <c r="I357">
        <v>38</v>
      </c>
      <c r="J357">
        <v>1.7560975609756098</v>
      </c>
      <c r="K357">
        <f t="shared" si="21"/>
        <v>0</v>
      </c>
      <c r="L357">
        <f t="shared" si="22"/>
        <v>1</v>
      </c>
      <c r="M357">
        <v>12</v>
      </c>
      <c r="N357">
        <v>224</v>
      </c>
      <c r="O357">
        <f t="shared" si="23"/>
        <v>1</v>
      </c>
      <c r="P357">
        <v>0.58399999999999996</v>
      </c>
    </row>
    <row r="358" spans="1:16" x14ac:dyDescent="0.2">
      <c r="A358" t="s">
        <v>734</v>
      </c>
      <c r="B358" t="s">
        <v>610</v>
      </c>
      <c r="C358" t="s">
        <v>18</v>
      </c>
      <c r="D358">
        <v>30</v>
      </c>
      <c r="E358">
        <v>715</v>
      </c>
      <c r="F358">
        <v>1620564</v>
      </c>
      <c r="G358" t="s">
        <v>735</v>
      </c>
      <c r="H358">
        <f t="shared" si="20"/>
        <v>0</v>
      </c>
      <c r="I358">
        <v>41</v>
      </c>
      <c r="J358">
        <v>2.7702702702702702</v>
      </c>
      <c r="K358">
        <f t="shared" si="21"/>
        <v>0</v>
      </c>
      <c r="L358">
        <f t="shared" si="22"/>
        <v>1</v>
      </c>
      <c r="M358">
        <v>7</v>
      </c>
      <c r="N358">
        <v>192</v>
      </c>
      <c r="O358">
        <f t="shared" si="23"/>
        <v>1</v>
      </c>
      <c r="P358">
        <v>0.55400000000000005</v>
      </c>
    </row>
    <row r="359" spans="1:16" x14ac:dyDescent="0.2">
      <c r="A359" t="s">
        <v>736</v>
      </c>
      <c r="B359" t="s">
        <v>610</v>
      </c>
      <c r="C359" t="s">
        <v>18</v>
      </c>
      <c r="D359">
        <v>25</v>
      </c>
      <c r="E359">
        <v>481</v>
      </c>
      <c r="F359">
        <v>1588231</v>
      </c>
      <c r="G359" t="s">
        <v>737</v>
      </c>
      <c r="H359">
        <f t="shared" si="20"/>
        <v>0</v>
      </c>
      <c r="I359">
        <v>34</v>
      </c>
      <c r="J359">
        <v>4.4117647058823533</v>
      </c>
      <c r="K359">
        <f t="shared" si="21"/>
        <v>0</v>
      </c>
      <c r="L359">
        <f t="shared" si="22"/>
        <v>1</v>
      </c>
      <c r="M359">
        <v>13</v>
      </c>
      <c r="N359">
        <v>96</v>
      </c>
      <c r="O359">
        <f t="shared" si="23"/>
        <v>1</v>
      </c>
      <c r="P359">
        <v>0.54700000000000004</v>
      </c>
    </row>
    <row r="360" spans="1:16" x14ac:dyDescent="0.2">
      <c r="A360" t="s">
        <v>738</v>
      </c>
      <c r="B360" t="s">
        <v>610</v>
      </c>
      <c r="C360" t="s">
        <v>18</v>
      </c>
      <c r="D360">
        <v>23</v>
      </c>
      <c r="E360">
        <v>105</v>
      </c>
      <c r="F360">
        <v>1517981</v>
      </c>
      <c r="G360" t="s">
        <v>739</v>
      </c>
      <c r="H360">
        <f t="shared" si="20"/>
        <v>0</v>
      </c>
      <c r="I360">
        <v>11</v>
      </c>
      <c r="J360">
        <v>1.75</v>
      </c>
      <c r="K360">
        <f t="shared" si="21"/>
        <v>0</v>
      </c>
      <c r="L360">
        <f t="shared" si="22"/>
        <v>1</v>
      </c>
      <c r="M360">
        <v>8</v>
      </c>
      <c r="N360">
        <v>84</v>
      </c>
      <c r="O360">
        <f t="shared" si="23"/>
        <v>1</v>
      </c>
      <c r="P360">
        <v>0.505</v>
      </c>
    </row>
    <row r="361" spans="1:16" x14ac:dyDescent="0.2">
      <c r="A361" t="s">
        <v>740</v>
      </c>
      <c r="B361" t="s">
        <v>610</v>
      </c>
      <c r="C361" t="s">
        <v>18</v>
      </c>
      <c r="D361">
        <v>26</v>
      </c>
      <c r="E361">
        <v>337</v>
      </c>
      <c r="F361">
        <v>1517981</v>
      </c>
      <c r="G361" t="s">
        <v>741</v>
      </c>
      <c r="H361">
        <f t="shared" si="20"/>
        <v>0</v>
      </c>
      <c r="I361">
        <v>12</v>
      </c>
      <c r="J361">
        <v>1.625</v>
      </c>
      <c r="K361">
        <f t="shared" si="21"/>
        <v>0</v>
      </c>
      <c r="L361">
        <f t="shared" si="22"/>
        <v>1</v>
      </c>
      <c r="M361">
        <v>12</v>
      </c>
      <c r="N361">
        <v>60</v>
      </c>
      <c r="O361">
        <f t="shared" si="23"/>
        <v>1</v>
      </c>
      <c r="P361">
        <v>0.60899999999999999</v>
      </c>
    </row>
    <row r="362" spans="1:16" x14ac:dyDescent="0.2">
      <c r="A362" t="s">
        <v>742</v>
      </c>
      <c r="B362" t="s">
        <v>610</v>
      </c>
      <c r="C362" t="s">
        <v>18</v>
      </c>
      <c r="D362">
        <v>21</v>
      </c>
      <c r="E362">
        <v>379</v>
      </c>
      <c r="F362">
        <v>1517981</v>
      </c>
      <c r="G362" t="s">
        <v>743</v>
      </c>
      <c r="H362">
        <f t="shared" si="20"/>
        <v>0</v>
      </c>
      <c r="I362">
        <v>22</v>
      </c>
      <c r="J362">
        <v>2.2142857142857144</v>
      </c>
      <c r="K362">
        <f t="shared" si="21"/>
        <v>0</v>
      </c>
      <c r="L362">
        <f t="shared" si="22"/>
        <v>1</v>
      </c>
      <c r="M362">
        <v>12</v>
      </c>
      <c r="N362">
        <v>95</v>
      </c>
      <c r="O362">
        <f t="shared" si="23"/>
        <v>1</v>
      </c>
      <c r="P362">
        <v>0.499</v>
      </c>
    </row>
    <row r="363" spans="1:16" x14ac:dyDescent="0.2">
      <c r="A363" t="s">
        <v>744</v>
      </c>
      <c r="B363" t="s">
        <v>610</v>
      </c>
      <c r="C363" t="s">
        <v>18</v>
      </c>
      <c r="D363">
        <v>24</v>
      </c>
      <c r="E363">
        <v>472</v>
      </c>
      <c r="F363">
        <v>1517981</v>
      </c>
      <c r="G363" t="s">
        <v>745</v>
      </c>
      <c r="H363">
        <f t="shared" si="20"/>
        <v>0</v>
      </c>
      <c r="I363">
        <v>29</v>
      </c>
      <c r="J363">
        <v>2.6</v>
      </c>
      <c r="K363">
        <f t="shared" si="21"/>
        <v>0</v>
      </c>
      <c r="L363">
        <f t="shared" si="22"/>
        <v>1</v>
      </c>
      <c r="M363">
        <v>13</v>
      </c>
      <c r="N363">
        <v>242</v>
      </c>
      <c r="O363">
        <f t="shared" si="23"/>
        <v>1</v>
      </c>
      <c r="P363">
        <v>0.56299999999999994</v>
      </c>
    </row>
    <row r="364" spans="1:16" x14ac:dyDescent="0.2">
      <c r="A364" t="s">
        <v>746</v>
      </c>
      <c r="B364" t="s">
        <v>610</v>
      </c>
      <c r="C364" t="s">
        <v>18</v>
      </c>
      <c r="D364">
        <v>21</v>
      </c>
      <c r="E364">
        <v>729</v>
      </c>
      <c r="F364">
        <v>1517981</v>
      </c>
      <c r="G364" t="s">
        <v>747</v>
      </c>
      <c r="H364">
        <f t="shared" si="20"/>
        <v>0</v>
      </c>
      <c r="I364">
        <v>45</v>
      </c>
      <c r="J364">
        <v>1.1139240506329113</v>
      </c>
      <c r="K364">
        <f t="shared" si="21"/>
        <v>0</v>
      </c>
      <c r="L364">
        <f t="shared" si="22"/>
        <v>1</v>
      </c>
      <c r="M364">
        <v>19</v>
      </c>
      <c r="N364">
        <v>189</v>
      </c>
      <c r="O364">
        <f t="shared" si="23"/>
        <v>1</v>
      </c>
      <c r="P364">
        <v>0.47499999999999998</v>
      </c>
    </row>
    <row r="365" spans="1:16" x14ac:dyDescent="0.2">
      <c r="A365" t="s">
        <v>748</v>
      </c>
      <c r="B365" t="s">
        <v>610</v>
      </c>
      <c r="C365" t="s">
        <v>18</v>
      </c>
      <c r="D365">
        <v>20</v>
      </c>
      <c r="E365">
        <v>585</v>
      </c>
      <c r="F365">
        <v>1517981</v>
      </c>
      <c r="G365" t="s">
        <v>749</v>
      </c>
      <c r="H365">
        <f t="shared" si="20"/>
        <v>0</v>
      </c>
      <c r="I365">
        <v>63</v>
      </c>
      <c r="J365">
        <v>1.7238095238095239</v>
      </c>
      <c r="K365">
        <f t="shared" si="21"/>
        <v>0</v>
      </c>
      <c r="L365">
        <f t="shared" si="22"/>
        <v>1</v>
      </c>
      <c r="M365">
        <v>21</v>
      </c>
      <c r="N365">
        <v>169</v>
      </c>
      <c r="O365">
        <f t="shared" si="23"/>
        <v>1</v>
      </c>
      <c r="P365">
        <v>0.496</v>
      </c>
    </row>
    <row r="366" spans="1:16" x14ac:dyDescent="0.2">
      <c r="A366" t="s">
        <v>750</v>
      </c>
      <c r="B366" t="s">
        <v>610</v>
      </c>
      <c r="C366" t="s">
        <v>18</v>
      </c>
      <c r="D366">
        <v>20</v>
      </c>
      <c r="E366">
        <v>11</v>
      </c>
      <c r="F366">
        <v>1289846</v>
      </c>
      <c r="G366" t="s">
        <v>751</v>
      </c>
      <c r="H366">
        <f t="shared" si="20"/>
        <v>0</v>
      </c>
      <c r="I366">
        <v>5</v>
      </c>
      <c r="J366">
        <v>3</v>
      </c>
      <c r="K366">
        <f t="shared" si="21"/>
        <v>0</v>
      </c>
      <c r="L366">
        <f t="shared" si="22"/>
        <v>1</v>
      </c>
      <c r="M366">
        <v>0</v>
      </c>
      <c r="N366">
        <v>6</v>
      </c>
      <c r="O366">
        <f t="shared" si="23"/>
        <v>1</v>
      </c>
      <c r="P366">
        <v>0.313</v>
      </c>
    </row>
    <row r="367" spans="1:16" x14ac:dyDescent="0.2">
      <c r="A367" t="s">
        <v>752</v>
      </c>
      <c r="B367" t="s">
        <v>610</v>
      </c>
      <c r="C367" t="s">
        <v>18</v>
      </c>
      <c r="D367">
        <v>19</v>
      </c>
      <c r="E367">
        <v>40</v>
      </c>
      <c r="F367">
        <v>1000000</v>
      </c>
      <c r="G367" t="s">
        <v>753</v>
      </c>
      <c r="H367">
        <f t="shared" si="20"/>
        <v>0</v>
      </c>
      <c r="I367">
        <v>4</v>
      </c>
      <c r="J367">
        <v>2</v>
      </c>
      <c r="K367">
        <f t="shared" si="21"/>
        <v>0</v>
      </c>
      <c r="L367">
        <f t="shared" si="22"/>
        <v>1</v>
      </c>
      <c r="M367">
        <v>1</v>
      </c>
      <c r="N367">
        <v>10</v>
      </c>
      <c r="O367">
        <f t="shared" si="23"/>
        <v>1</v>
      </c>
      <c r="P367">
        <v>0.46100000000000002</v>
      </c>
    </row>
    <row r="368" spans="1:16" x14ac:dyDescent="0.2">
      <c r="A368" t="s">
        <v>754</v>
      </c>
      <c r="B368" t="s">
        <v>610</v>
      </c>
      <c r="C368" t="s">
        <v>18</v>
      </c>
      <c r="D368">
        <v>21</v>
      </c>
      <c r="E368">
        <v>94</v>
      </c>
      <c r="F368">
        <v>898310</v>
      </c>
      <c r="G368" t="s">
        <v>755</v>
      </c>
      <c r="H368">
        <f t="shared" si="20"/>
        <v>0</v>
      </c>
      <c r="I368">
        <v>8</v>
      </c>
      <c r="J368">
        <v>3</v>
      </c>
      <c r="K368">
        <f t="shared" si="21"/>
        <v>0</v>
      </c>
      <c r="L368">
        <f t="shared" si="22"/>
        <v>1</v>
      </c>
      <c r="M368">
        <v>0</v>
      </c>
      <c r="N368">
        <v>21</v>
      </c>
      <c r="O368">
        <f t="shared" si="23"/>
        <v>1</v>
      </c>
      <c r="P368">
        <v>0.49399999999999999</v>
      </c>
    </row>
    <row r="369" spans="1:16" x14ac:dyDescent="0.2">
      <c r="A369" t="s">
        <v>756</v>
      </c>
      <c r="B369" t="s">
        <v>610</v>
      </c>
      <c r="C369" t="s">
        <v>18</v>
      </c>
      <c r="D369">
        <v>22</v>
      </c>
      <c r="E369">
        <v>9</v>
      </c>
      <c r="F369">
        <v>449155</v>
      </c>
      <c r="G369" t="s">
        <v>757</v>
      </c>
      <c r="H369">
        <f t="shared" si="20"/>
        <v>0</v>
      </c>
      <c r="I369">
        <v>0</v>
      </c>
      <c r="J369">
        <v>2</v>
      </c>
      <c r="K369">
        <f t="shared" si="21"/>
        <v>0</v>
      </c>
      <c r="L369">
        <f t="shared" si="22"/>
        <v>1</v>
      </c>
      <c r="M369">
        <v>1</v>
      </c>
      <c r="N369">
        <v>10</v>
      </c>
      <c r="O369">
        <f t="shared" si="23"/>
        <v>1</v>
      </c>
      <c r="P369">
        <v>0.33300000000000002</v>
      </c>
    </row>
    <row r="370" spans="1:16" x14ac:dyDescent="0.2">
      <c r="A370" t="s">
        <v>758</v>
      </c>
      <c r="B370" t="s">
        <v>610</v>
      </c>
      <c r="C370" t="s">
        <v>18</v>
      </c>
      <c r="D370">
        <v>21</v>
      </c>
      <c r="E370">
        <v>41</v>
      </c>
      <c r="F370">
        <v>449155</v>
      </c>
      <c r="G370" t="s">
        <v>759</v>
      </c>
      <c r="H370">
        <f t="shared" si="20"/>
        <v>0</v>
      </c>
      <c r="I370">
        <v>7</v>
      </c>
      <c r="J370">
        <v>1.6</v>
      </c>
      <c r="K370">
        <f t="shared" si="21"/>
        <v>0</v>
      </c>
      <c r="L370">
        <f t="shared" si="22"/>
        <v>1</v>
      </c>
      <c r="M370">
        <v>2</v>
      </c>
      <c r="N370">
        <v>9</v>
      </c>
      <c r="O370">
        <f t="shared" si="23"/>
        <v>1</v>
      </c>
      <c r="P370">
        <v>0.40500000000000003</v>
      </c>
    </row>
    <row r="371" spans="1:16" x14ac:dyDescent="0.2">
      <c r="A371" t="s">
        <v>760</v>
      </c>
      <c r="B371" t="s">
        <v>610</v>
      </c>
      <c r="C371" t="s">
        <v>18</v>
      </c>
      <c r="D371">
        <v>20</v>
      </c>
      <c r="E371">
        <v>35</v>
      </c>
      <c r="F371">
        <v>449155</v>
      </c>
      <c r="G371" t="s">
        <v>761</v>
      </c>
      <c r="H371">
        <f t="shared" si="20"/>
        <v>0</v>
      </c>
      <c r="I371">
        <v>4</v>
      </c>
      <c r="J371">
        <v>0.14285714285714285</v>
      </c>
      <c r="K371">
        <f t="shared" si="21"/>
        <v>0</v>
      </c>
      <c r="L371">
        <f t="shared" si="22"/>
        <v>1</v>
      </c>
      <c r="M371">
        <v>0</v>
      </c>
      <c r="N371">
        <v>14</v>
      </c>
      <c r="O371">
        <f t="shared" si="23"/>
        <v>1</v>
      </c>
      <c r="P371">
        <v>0.41699999999999998</v>
      </c>
    </row>
    <row r="372" spans="1:16" x14ac:dyDescent="0.2">
      <c r="A372" t="s">
        <v>762</v>
      </c>
      <c r="B372" t="s">
        <v>610</v>
      </c>
      <c r="C372" t="s">
        <v>18</v>
      </c>
      <c r="D372">
        <v>24</v>
      </c>
      <c r="E372">
        <v>46</v>
      </c>
      <c r="F372">
        <v>449155</v>
      </c>
      <c r="G372" t="s">
        <v>763</v>
      </c>
      <c r="H372">
        <f t="shared" si="20"/>
        <v>0</v>
      </c>
      <c r="I372">
        <v>8</v>
      </c>
      <c r="J372">
        <v>0.8</v>
      </c>
      <c r="K372">
        <f t="shared" si="21"/>
        <v>0</v>
      </c>
      <c r="L372">
        <f t="shared" si="22"/>
        <v>1</v>
      </c>
      <c r="M372">
        <v>2</v>
      </c>
      <c r="N372">
        <v>11</v>
      </c>
      <c r="O372">
        <f t="shared" si="23"/>
        <v>1</v>
      </c>
      <c r="P372">
        <v>0.47099999999999997</v>
      </c>
    </row>
    <row r="373" spans="1:16" x14ac:dyDescent="0.2">
      <c r="A373" t="s">
        <v>764</v>
      </c>
      <c r="B373" t="s">
        <v>610</v>
      </c>
      <c r="C373" t="s">
        <v>18</v>
      </c>
      <c r="D373">
        <v>23</v>
      </c>
      <c r="E373">
        <v>87</v>
      </c>
      <c r="F373">
        <v>449155</v>
      </c>
      <c r="G373" t="s">
        <v>765</v>
      </c>
      <c r="H373">
        <f t="shared" si="20"/>
        <v>0</v>
      </c>
      <c r="I373">
        <v>6</v>
      </c>
      <c r="J373">
        <v>2.9090909090909092</v>
      </c>
      <c r="K373">
        <f t="shared" si="21"/>
        <v>0</v>
      </c>
      <c r="L373">
        <f t="shared" si="22"/>
        <v>1</v>
      </c>
      <c r="M373">
        <v>0</v>
      </c>
      <c r="N373">
        <v>35</v>
      </c>
      <c r="O373">
        <f t="shared" si="23"/>
        <v>1</v>
      </c>
      <c r="P373">
        <v>0.40300000000000002</v>
      </c>
    </row>
    <row r="374" spans="1:16" x14ac:dyDescent="0.2">
      <c r="A374" t="s">
        <v>766</v>
      </c>
      <c r="B374" t="s">
        <v>610</v>
      </c>
      <c r="C374" t="s">
        <v>18</v>
      </c>
      <c r="D374">
        <v>23</v>
      </c>
      <c r="E374">
        <v>140</v>
      </c>
      <c r="F374">
        <v>449155</v>
      </c>
      <c r="G374" t="s">
        <v>767</v>
      </c>
      <c r="H374">
        <f t="shared" si="20"/>
        <v>0</v>
      </c>
      <c r="I374">
        <v>10</v>
      </c>
      <c r="J374">
        <v>1.4666666666666666</v>
      </c>
      <c r="K374">
        <f t="shared" si="21"/>
        <v>0</v>
      </c>
      <c r="L374">
        <f t="shared" si="22"/>
        <v>1</v>
      </c>
      <c r="M374">
        <v>0</v>
      </c>
      <c r="N374">
        <v>44</v>
      </c>
      <c r="O374">
        <f t="shared" si="23"/>
        <v>1</v>
      </c>
      <c r="P374">
        <v>0.54900000000000004</v>
      </c>
    </row>
    <row r="375" spans="1:16" x14ac:dyDescent="0.2">
      <c r="A375" t="s">
        <v>768</v>
      </c>
      <c r="B375" t="s">
        <v>610</v>
      </c>
      <c r="C375" t="s">
        <v>18</v>
      </c>
      <c r="D375">
        <v>21</v>
      </c>
      <c r="E375">
        <v>105</v>
      </c>
      <c r="F375">
        <v>449155</v>
      </c>
      <c r="G375" t="s">
        <v>769</v>
      </c>
      <c r="H375">
        <f t="shared" si="20"/>
        <v>0</v>
      </c>
      <c r="I375">
        <v>4</v>
      </c>
      <c r="J375">
        <v>1</v>
      </c>
      <c r="K375">
        <f t="shared" si="21"/>
        <v>0</v>
      </c>
      <c r="L375">
        <f t="shared" si="22"/>
        <v>1</v>
      </c>
      <c r="M375">
        <v>1</v>
      </c>
      <c r="N375">
        <v>21</v>
      </c>
      <c r="O375">
        <f t="shared" si="23"/>
        <v>1</v>
      </c>
      <c r="P375">
        <v>0.46200000000000002</v>
      </c>
    </row>
    <row r="376" spans="1:16" x14ac:dyDescent="0.2">
      <c r="A376" t="s">
        <v>770</v>
      </c>
      <c r="B376" t="s">
        <v>610</v>
      </c>
      <c r="C376" t="s">
        <v>18</v>
      </c>
      <c r="D376">
        <v>22</v>
      </c>
      <c r="E376">
        <v>88</v>
      </c>
      <c r="F376">
        <v>449155</v>
      </c>
      <c r="G376" t="s">
        <v>771</v>
      </c>
      <c r="H376">
        <f t="shared" si="20"/>
        <v>0</v>
      </c>
      <c r="I376">
        <v>9</v>
      </c>
      <c r="J376">
        <v>2.1428571428571428</v>
      </c>
      <c r="K376">
        <f t="shared" si="21"/>
        <v>0</v>
      </c>
      <c r="L376">
        <f t="shared" si="22"/>
        <v>1</v>
      </c>
      <c r="M376">
        <v>4</v>
      </c>
      <c r="N376">
        <v>44</v>
      </c>
      <c r="O376">
        <f t="shared" si="23"/>
        <v>1</v>
      </c>
      <c r="P376">
        <v>0.48599999999999999</v>
      </c>
    </row>
    <row r="377" spans="1:16" x14ac:dyDescent="0.2">
      <c r="A377" t="s">
        <v>772</v>
      </c>
      <c r="B377" t="s">
        <v>610</v>
      </c>
      <c r="C377" t="s">
        <v>18</v>
      </c>
      <c r="D377">
        <v>22</v>
      </c>
      <c r="E377">
        <v>223</v>
      </c>
      <c r="F377">
        <v>449155</v>
      </c>
      <c r="G377" t="s">
        <v>773</v>
      </c>
      <c r="H377">
        <f t="shared" si="20"/>
        <v>0</v>
      </c>
      <c r="I377">
        <v>12</v>
      </c>
      <c r="J377">
        <v>1.3636363636363635</v>
      </c>
      <c r="K377">
        <f t="shared" si="21"/>
        <v>0</v>
      </c>
      <c r="L377">
        <f t="shared" si="22"/>
        <v>1</v>
      </c>
      <c r="M377">
        <v>5</v>
      </c>
      <c r="N377">
        <v>68</v>
      </c>
      <c r="O377">
        <f t="shared" si="23"/>
        <v>1</v>
      </c>
      <c r="P377">
        <v>0.56299999999999994</v>
      </c>
    </row>
    <row r="378" spans="1:16" x14ac:dyDescent="0.2">
      <c r="A378" t="s">
        <v>774</v>
      </c>
      <c r="B378" t="s">
        <v>610</v>
      </c>
      <c r="C378" t="s">
        <v>18</v>
      </c>
      <c r="D378">
        <v>19</v>
      </c>
      <c r="E378">
        <v>123</v>
      </c>
      <c r="F378">
        <v>449155</v>
      </c>
      <c r="G378" t="s">
        <v>775</v>
      </c>
      <c r="H378">
        <f t="shared" si="20"/>
        <v>0</v>
      </c>
      <c r="I378">
        <v>16</v>
      </c>
      <c r="J378">
        <v>2.2580645161290325</v>
      </c>
      <c r="K378">
        <f t="shared" si="21"/>
        <v>0</v>
      </c>
      <c r="L378">
        <f t="shared" si="22"/>
        <v>1</v>
      </c>
      <c r="M378">
        <v>1</v>
      </c>
      <c r="N378">
        <v>46</v>
      </c>
      <c r="O378">
        <f t="shared" si="23"/>
        <v>1</v>
      </c>
      <c r="P378">
        <v>0.439</v>
      </c>
    </row>
    <row r="379" spans="1:16" x14ac:dyDescent="0.2">
      <c r="A379" t="s">
        <v>776</v>
      </c>
      <c r="B379" t="s">
        <v>610</v>
      </c>
      <c r="C379" t="s">
        <v>18</v>
      </c>
      <c r="D379">
        <v>24</v>
      </c>
      <c r="E379">
        <v>256</v>
      </c>
      <c r="F379">
        <v>449155</v>
      </c>
      <c r="G379" t="s">
        <v>777</v>
      </c>
      <c r="H379">
        <f t="shared" si="20"/>
        <v>0</v>
      </c>
      <c r="I379">
        <v>51</v>
      </c>
      <c r="J379">
        <v>3.784313725490196</v>
      </c>
      <c r="K379">
        <f t="shared" si="21"/>
        <v>0</v>
      </c>
      <c r="L379">
        <f t="shared" si="22"/>
        <v>1</v>
      </c>
      <c r="M379">
        <v>6</v>
      </c>
      <c r="N379">
        <v>108</v>
      </c>
      <c r="O379">
        <f t="shared" si="23"/>
        <v>1</v>
      </c>
      <c r="P379">
        <v>0.48099999999999998</v>
      </c>
    </row>
    <row r="380" spans="1:16" x14ac:dyDescent="0.2">
      <c r="A380" t="s">
        <v>778</v>
      </c>
      <c r="B380" t="s">
        <v>610</v>
      </c>
      <c r="C380" t="s">
        <v>18</v>
      </c>
      <c r="D380">
        <v>27</v>
      </c>
      <c r="E380">
        <v>301</v>
      </c>
      <c r="F380">
        <v>358295</v>
      </c>
      <c r="G380" t="s">
        <v>779</v>
      </c>
      <c r="H380">
        <f t="shared" si="20"/>
        <v>0</v>
      </c>
      <c r="I380">
        <v>41</v>
      </c>
      <c r="J380">
        <v>2.459016393442623</v>
      </c>
      <c r="K380">
        <f t="shared" si="21"/>
        <v>0</v>
      </c>
      <c r="L380">
        <f t="shared" si="22"/>
        <v>1</v>
      </c>
      <c r="M380">
        <v>26</v>
      </c>
      <c r="N380">
        <v>235</v>
      </c>
      <c r="O380">
        <f t="shared" si="23"/>
        <v>1</v>
      </c>
      <c r="P380">
        <v>0.66700000000000004</v>
      </c>
    </row>
    <row r="381" spans="1:16" x14ac:dyDescent="0.2">
      <c r="A381" t="s">
        <v>780</v>
      </c>
      <c r="B381" t="s">
        <v>610</v>
      </c>
      <c r="C381" t="s">
        <v>18</v>
      </c>
      <c r="D381">
        <v>30</v>
      </c>
      <c r="E381">
        <v>8</v>
      </c>
      <c r="F381">
        <v>255294</v>
      </c>
      <c r="G381" t="s">
        <v>781</v>
      </c>
      <c r="H381">
        <f t="shared" si="20"/>
        <v>0</v>
      </c>
      <c r="I381">
        <v>2</v>
      </c>
      <c r="J381">
        <v>4</v>
      </c>
      <c r="K381">
        <f t="shared" si="21"/>
        <v>0</v>
      </c>
      <c r="L381">
        <f t="shared" si="22"/>
        <v>1</v>
      </c>
      <c r="M381">
        <v>1</v>
      </c>
      <c r="N381">
        <v>8</v>
      </c>
      <c r="O381">
        <f t="shared" si="23"/>
        <v>1</v>
      </c>
      <c r="P381">
        <v>0.15</v>
      </c>
    </row>
    <row r="382" spans="1:16" x14ac:dyDescent="0.2">
      <c r="A382" t="s">
        <v>782</v>
      </c>
      <c r="B382" t="s">
        <v>610</v>
      </c>
      <c r="C382" t="s">
        <v>18</v>
      </c>
      <c r="D382">
        <v>24</v>
      </c>
      <c r="E382">
        <v>82</v>
      </c>
      <c r="F382">
        <v>250000</v>
      </c>
      <c r="G382" t="s">
        <v>783</v>
      </c>
      <c r="H382">
        <f t="shared" si="20"/>
        <v>0</v>
      </c>
      <c r="I382">
        <v>9</v>
      </c>
      <c r="J382">
        <v>4.166666666666667</v>
      </c>
      <c r="K382">
        <f t="shared" si="21"/>
        <v>0</v>
      </c>
      <c r="L382">
        <f t="shared" si="22"/>
        <v>1</v>
      </c>
      <c r="M382">
        <v>6</v>
      </c>
      <c r="N382">
        <v>18</v>
      </c>
      <c r="O382">
        <f t="shared" si="23"/>
        <v>1</v>
      </c>
      <c r="P382">
        <v>0.55300000000000005</v>
      </c>
    </row>
    <row r="383" spans="1:16" x14ac:dyDescent="0.2">
      <c r="A383" t="s">
        <v>784</v>
      </c>
      <c r="B383" t="s">
        <v>610</v>
      </c>
      <c r="C383" t="s">
        <v>18</v>
      </c>
      <c r="D383">
        <v>23</v>
      </c>
      <c r="E383">
        <v>40</v>
      </c>
      <c r="F383">
        <v>19804</v>
      </c>
      <c r="G383" t="s">
        <v>785</v>
      </c>
      <c r="H383">
        <f t="shared" si="20"/>
        <v>0</v>
      </c>
      <c r="I383">
        <v>4</v>
      </c>
      <c r="J383">
        <v>1.5</v>
      </c>
      <c r="K383">
        <f t="shared" si="21"/>
        <v>0</v>
      </c>
      <c r="L383">
        <f t="shared" si="22"/>
        <v>1</v>
      </c>
      <c r="M383">
        <v>2</v>
      </c>
      <c r="N383">
        <v>17</v>
      </c>
      <c r="O383">
        <f t="shared" si="23"/>
        <v>1</v>
      </c>
      <c r="P383">
        <v>0.36</v>
      </c>
    </row>
    <row r="384" spans="1:16" x14ac:dyDescent="0.2">
      <c r="A384" t="s">
        <v>786</v>
      </c>
      <c r="B384" t="s">
        <v>610</v>
      </c>
      <c r="C384" t="s">
        <v>18</v>
      </c>
      <c r="D384">
        <v>28</v>
      </c>
      <c r="E384">
        <v>25</v>
      </c>
      <c r="F384">
        <v>11898</v>
      </c>
      <c r="G384" t="s">
        <v>787</v>
      </c>
      <c r="H384">
        <f t="shared" si="20"/>
        <v>0</v>
      </c>
      <c r="I384">
        <v>6</v>
      </c>
      <c r="J384">
        <v>1</v>
      </c>
      <c r="K384">
        <f t="shared" si="21"/>
        <v>0</v>
      </c>
      <c r="L384">
        <f t="shared" si="22"/>
        <v>1</v>
      </c>
      <c r="M384">
        <v>1</v>
      </c>
      <c r="N384">
        <v>11</v>
      </c>
      <c r="O384">
        <f t="shared" si="23"/>
        <v>1</v>
      </c>
      <c r="P384">
        <v>0.84599999999999997</v>
      </c>
    </row>
    <row r="385" spans="1:16" x14ac:dyDescent="0.2">
      <c r="A385" t="s">
        <v>788</v>
      </c>
      <c r="B385" t="s">
        <v>610</v>
      </c>
      <c r="C385" t="s">
        <v>97</v>
      </c>
      <c r="D385">
        <v>31</v>
      </c>
      <c r="E385">
        <v>1083</v>
      </c>
      <c r="F385">
        <v>41254920</v>
      </c>
      <c r="G385" t="s">
        <v>789</v>
      </c>
      <c r="H385">
        <f t="shared" si="20"/>
        <v>0</v>
      </c>
      <c r="I385">
        <v>53</v>
      </c>
      <c r="J385">
        <v>2.6836158192090394</v>
      </c>
      <c r="K385">
        <f t="shared" si="21"/>
        <v>0</v>
      </c>
      <c r="L385">
        <f t="shared" si="22"/>
        <v>0</v>
      </c>
      <c r="M385">
        <v>33</v>
      </c>
      <c r="N385">
        <v>348</v>
      </c>
      <c r="O385">
        <f t="shared" si="23"/>
        <v>1</v>
      </c>
      <c r="P385">
        <v>0.54800000000000004</v>
      </c>
    </row>
    <row r="386" spans="1:16" x14ac:dyDescent="0.2">
      <c r="A386" t="s">
        <v>790</v>
      </c>
      <c r="B386" t="s">
        <v>610</v>
      </c>
      <c r="C386" t="s">
        <v>97</v>
      </c>
      <c r="D386">
        <v>28</v>
      </c>
      <c r="E386">
        <v>652</v>
      </c>
      <c r="F386">
        <v>21000000</v>
      </c>
      <c r="G386" t="s">
        <v>791</v>
      </c>
      <c r="H386">
        <f t="shared" ref="H386:H449" si="24">IF(B386="Forward", 1, 0)</f>
        <v>0</v>
      </c>
      <c r="I386">
        <v>46</v>
      </c>
      <c r="J386">
        <v>1.8192771084337349</v>
      </c>
      <c r="K386">
        <f t="shared" ref="K386:K449" si="25">IF(C386="East", 1, 0)</f>
        <v>0</v>
      </c>
      <c r="L386">
        <f t="shared" ref="L386:L449" si="26">IF(C386="West", 1, 0)</f>
        <v>0</v>
      </c>
      <c r="M386">
        <v>14</v>
      </c>
      <c r="N386">
        <v>160</v>
      </c>
      <c r="O386">
        <f t="shared" ref="O386:O449" si="27">IF($B386="Guard", 1, 0)</f>
        <v>1</v>
      </c>
      <c r="P386">
        <v>0.47599999999999998</v>
      </c>
    </row>
    <row r="387" spans="1:16" x14ac:dyDescent="0.2">
      <c r="A387" t="s">
        <v>792</v>
      </c>
      <c r="B387" t="s">
        <v>610</v>
      </c>
      <c r="C387" t="s">
        <v>97</v>
      </c>
      <c r="D387">
        <v>26</v>
      </c>
      <c r="E387">
        <v>388</v>
      </c>
      <c r="F387">
        <v>19610714</v>
      </c>
      <c r="G387" t="s">
        <v>793</v>
      </c>
      <c r="H387">
        <f t="shared" si="24"/>
        <v>0</v>
      </c>
      <c r="I387">
        <v>28</v>
      </c>
      <c r="J387">
        <v>2.1081081081081079</v>
      </c>
      <c r="K387">
        <f t="shared" si="25"/>
        <v>0</v>
      </c>
      <c r="L387">
        <f t="shared" si="26"/>
        <v>0</v>
      </c>
      <c r="M387">
        <v>11</v>
      </c>
      <c r="N387">
        <v>79</v>
      </c>
      <c r="O387">
        <f t="shared" si="27"/>
        <v>1</v>
      </c>
      <c r="P387">
        <v>0.47</v>
      </c>
    </row>
    <row r="388" spans="1:16" x14ac:dyDescent="0.2">
      <c r="A388" t="s">
        <v>794</v>
      </c>
      <c r="B388" t="s">
        <v>610</v>
      </c>
      <c r="C388" t="s">
        <v>97</v>
      </c>
      <c r="D388">
        <v>26</v>
      </c>
      <c r="E388">
        <v>948</v>
      </c>
      <c r="F388">
        <v>16203704</v>
      </c>
      <c r="G388" t="s">
        <v>795</v>
      </c>
      <c r="H388">
        <f t="shared" si="24"/>
        <v>0</v>
      </c>
      <c r="I388">
        <v>66</v>
      </c>
      <c r="J388">
        <v>2.4019607843137254</v>
      </c>
      <c r="K388">
        <f t="shared" si="25"/>
        <v>0</v>
      </c>
      <c r="L388">
        <f t="shared" si="26"/>
        <v>0</v>
      </c>
      <c r="M388">
        <v>30</v>
      </c>
      <c r="N388">
        <v>214</v>
      </c>
      <c r="O388">
        <f t="shared" si="27"/>
        <v>1</v>
      </c>
      <c r="P388">
        <v>0.49299999999999999</v>
      </c>
    </row>
    <row r="389" spans="1:16" x14ac:dyDescent="0.2">
      <c r="A389" t="s">
        <v>796</v>
      </c>
      <c r="B389" t="s">
        <v>610</v>
      </c>
      <c r="C389" t="s">
        <v>97</v>
      </c>
      <c r="D389">
        <v>36</v>
      </c>
      <c r="E389">
        <v>327</v>
      </c>
      <c r="F389">
        <v>13013700</v>
      </c>
      <c r="G389" t="s">
        <v>797</v>
      </c>
      <c r="H389">
        <f t="shared" si="24"/>
        <v>0</v>
      </c>
      <c r="I389">
        <v>11</v>
      </c>
      <c r="J389">
        <v>1.4166666666666667</v>
      </c>
      <c r="K389">
        <f t="shared" si="25"/>
        <v>0</v>
      </c>
      <c r="L389">
        <f t="shared" si="26"/>
        <v>0</v>
      </c>
      <c r="M389">
        <v>3</v>
      </c>
      <c r="N389">
        <v>64</v>
      </c>
      <c r="O389">
        <f t="shared" si="27"/>
        <v>1</v>
      </c>
      <c r="P389">
        <v>0.52100000000000002</v>
      </c>
    </row>
    <row r="390" spans="1:16" x14ac:dyDescent="0.2">
      <c r="A390" t="s">
        <v>798</v>
      </c>
      <c r="B390" t="s">
        <v>610</v>
      </c>
      <c r="C390" t="s">
        <v>97</v>
      </c>
      <c r="D390">
        <v>29</v>
      </c>
      <c r="E390">
        <v>517</v>
      </c>
      <c r="F390">
        <v>12600000</v>
      </c>
      <c r="G390" t="s">
        <v>799</v>
      </c>
      <c r="H390">
        <f t="shared" si="24"/>
        <v>0</v>
      </c>
      <c r="I390">
        <v>61</v>
      </c>
      <c r="J390">
        <v>2.6962025316455698</v>
      </c>
      <c r="K390">
        <f t="shared" si="25"/>
        <v>0</v>
      </c>
      <c r="L390">
        <f t="shared" si="26"/>
        <v>0</v>
      </c>
      <c r="M390">
        <v>18</v>
      </c>
      <c r="N390">
        <v>159</v>
      </c>
      <c r="O390">
        <f t="shared" si="27"/>
        <v>1</v>
      </c>
      <c r="P390">
        <v>0.52200000000000002</v>
      </c>
    </row>
    <row r="391" spans="1:16" x14ac:dyDescent="0.2">
      <c r="A391" t="s">
        <v>800</v>
      </c>
      <c r="B391" t="s">
        <v>610</v>
      </c>
      <c r="C391" t="s">
        <v>97</v>
      </c>
      <c r="D391">
        <v>27</v>
      </c>
      <c r="E391">
        <v>1283</v>
      </c>
      <c r="F391">
        <v>10865952</v>
      </c>
      <c r="G391" t="s">
        <v>801</v>
      </c>
      <c r="H391">
        <f t="shared" si="24"/>
        <v>0</v>
      </c>
      <c r="I391">
        <v>82</v>
      </c>
      <c r="J391">
        <v>1.0840336134453781</v>
      </c>
      <c r="K391">
        <f t="shared" si="25"/>
        <v>0</v>
      </c>
      <c r="L391">
        <f t="shared" si="26"/>
        <v>0</v>
      </c>
      <c r="M391">
        <v>18</v>
      </c>
      <c r="N391">
        <v>215</v>
      </c>
      <c r="O391">
        <f t="shared" si="27"/>
        <v>1</v>
      </c>
      <c r="P391">
        <v>0.56999999999999995</v>
      </c>
    </row>
    <row r="392" spans="1:16" x14ac:dyDescent="0.2">
      <c r="A392" t="s">
        <v>802</v>
      </c>
      <c r="B392" t="s">
        <v>610</v>
      </c>
      <c r="C392" t="s">
        <v>97</v>
      </c>
      <c r="D392">
        <v>34</v>
      </c>
      <c r="E392">
        <v>261</v>
      </c>
      <c r="F392">
        <v>9590602</v>
      </c>
      <c r="G392" t="s">
        <v>803</v>
      </c>
      <c r="H392">
        <f t="shared" si="24"/>
        <v>0</v>
      </c>
      <c r="I392">
        <v>23</v>
      </c>
      <c r="J392">
        <v>2.3548387096774195</v>
      </c>
      <c r="K392">
        <f t="shared" si="25"/>
        <v>0</v>
      </c>
      <c r="L392">
        <f t="shared" si="26"/>
        <v>0</v>
      </c>
      <c r="M392">
        <v>5</v>
      </c>
      <c r="N392">
        <v>61</v>
      </c>
      <c r="O392">
        <f t="shared" si="27"/>
        <v>1</v>
      </c>
      <c r="P392">
        <v>0.56100000000000005</v>
      </c>
    </row>
    <row r="393" spans="1:16" x14ac:dyDescent="0.2">
      <c r="A393" t="s">
        <v>804</v>
      </c>
      <c r="B393" t="s">
        <v>610</v>
      </c>
      <c r="C393" t="s">
        <v>97</v>
      </c>
      <c r="D393">
        <v>28</v>
      </c>
      <c r="E393">
        <v>645</v>
      </c>
      <c r="F393">
        <v>9000000</v>
      </c>
      <c r="G393" t="s">
        <v>805</v>
      </c>
      <c r="H393">
        <f t="shared" si="24"/>
        <v>0</v>
      </c>
      <c r="I393">
        <v>101</v>
      </c>
      <c r="J393">
        <v>3.3493975903614457</v>
      </c>
      <c r="K393">
        <f t="shared" si="25"/>
        <v>0</v>
      </c>
      <c r="L393">
        <f t="shared" si="26"/>
        <v>0</v>
      </c>
      <c r="M393">
        <v>30</v>
      </c>
      <c r="N393">
        <v>269</v>
      </c>
      <c r="O393">
        <f t="shared" si="27"/>
        <v>1</v>
      </c>
      <c r="P393">
        <v>0.52500000000000002</v>
      </c>
    </row>
    <row r="394" spans="1:16" x14ac:dyDescent="0.2">
      <c r="A394" t="s">
        <v>806</v>
      </c>
      <c r="B394" t="s">
        <v>610</v>
      </c>
      <c r="C394" t="s">
        <v>97</v>
      </c>
      <c r="D394">
        <v>34</v>
      </c>
      <c r="E394">
        <v>749</v>
      </c>
      <c r="F394">
        <v>8000000</v>
      </c>
      <c r="G394" t="s">
        <v>807</v>
      </c>
      <c r="H394">
        <f t="shared" si="24"/>
        <v>0</v>
      </c>
      <c r="I394">
        <v>47</v>
      </c>
      <c r="J394">
        <v>2.0833333333333335</v>
      </c>
      <c r="K394">
        <f t="shared" si="25"/>
        <v>0</v>
      </c>
      <c r="L394">
        <f t="shared" si="26"/>
        <v>0</v>
      </c>
      <c r="M394">
        <v>6</v>
      </c>
      <c r="N394">
        <v>138</v>
      </c>
      <c r="O394">
        <f t="shared" si="27"/>
        <v>1</v>
      </c>
      <c r="P394">
        <v>0.46400000000000002</v>
      </c>
    </row>
    <row r="395" spans="1:16" x14ac:dyDescent="0.2">
      <c r="A395" t="s">
        <v>808</v>
      </c>
      <c r="B395" t="s">
        <v>610</v>
      </c>
      <c r="C395" t="s">
        <v>97</v>
      </c>
      <c r="D395">
        <v>32</v>
      </c>
      <c r="E395">
        <v>734</v>
      </c>
      <c r="F395">
        <v>7682927</v>
      </c>
      <c r="G395" t="s">
        <v>809</v>
      </c>
      <c r="H395">
        <f t="shared" si="24"/>
        <v>0</v>
      </c>
      <c r="I395">
        <v>49</v>
      </c>
      <c r="J395">
        <v>2.6794871794871793</v>
      </c>
      <c r="K395">
        <f t="shared" si="25"/>
        <v>0</v>
      </c>
      <c r="L395">
        <f t="shared" si="26"/>
        <v>0</v>
      </c>
      <c r="M395">
        <v>19</v>
      </c>
      <c r="N395">
        <v>130</v>
      </c>
      <c r="O395">
        <f t="shared" si="27"/>
        <v>1</v>
      </c>
      <c r="P395">
        <v>0.51100000000000001</v>
      </c>
    </row>
    <row r="396" spans="1:16" x14ac:dyDescent="0.2">
      <c r="A396" t="s">
        <v>810</v>
      </c>
      <c r="B396" t="s">
        <v>610</v>
      </c>
      <c r="C396" t="s">
        <v>97</v>
      </c>
      <c r="D396">
        <v>34</v>
      </c>
      <c r="E396">
        <v>242</v>
      </c>
      <c r="F396">
        <v>7500000</v>
      </c>
      <c r="G396" t="s">
        <v>811</v>
      </c>
      <c r="H396">
        <f t="shared" si="24"/>
        <v>0</v>
      </c>
      <c r="I396">
        <v>37</v>
      </c>
      <c r="J396">
        <v>2.518987341772152</v>
      </c>
      <c r="K396">
        <f t="shared" si="25"/>
        <v>0</v>
      </c>
      <c r="L396">
        <f t="shared" si="26"/>
        <v>0</v>
      </c>
      <c r="M396">
        <v>4</v>
      </c>
      <c r="N396">
        <v>110</v>
      </c>
      <c r="O396">
        <f t="shared" si="27"/>
        <v>1</v>
      </c>
      <c r="P396">
        <v>0.52600000000000002</v>
      </c>
    </row>
    <row r="397" spans="1:16" x14ac:dyDescent="0.2">
      <c r="A397" t="s">
        <v>812</v>
      </c>
      <c r="B397" t="s">
        <v>610</v>
      </c>
      <c r="C397" t="s">
        <v>97</v>
      </c>
      <c r="D397">
        <v>33</v>
      </c>
      <c r="E397">
        <v>438</v>
      </c>
      <c r="F397">
        <v>6666667</v>
      </c>
      <c r="G397" t="s">
        <v>813</v>
      </c>
      <c r="H397">
        <f t="shared" si="24"/>
        <v>0</v>
      </c>
      <c r="I397">
        <v>28</v>
      </c>
      <c r="J397">
        <v>2.8923076923076922</v>
      </c>
      <c r="K397">
        <f t="shared" si="25"/>
        <v>0</v>
      </c>
      <c r="L397">
        <f t="shared" si="26"/>
        <v>0</v>
      </c>
      <c r="M397">
        <v>1</v>
      </c>
      <c r="N397">
        <v>94</v>
      </c>
      <c r="O397">
        <f t="shared" si="27"/>
        <v>1</v>
      </c>
      <c r="P397">
        <v>0.51500000000000001</v>
      </c>
    </row>
    <row r="398" spans="1:16" x14ac:dyDescent="0.2">
      <c r="A398" t="s">
        <v>814</v>
      </c>
      <c r="B398" t="s">
        <v>610</v>
      </c>
      <c r="C398" t="s">
        <v>97</v>
      </c>
      <c r="D398">
        <v>23</v>
      </c>
      <c r="E398">
        <v>154</v>
      </c>
      <c r="F398">
        <v>5686677</v>
      </c>
      <c r="G398" t="s">
        <v>815</v>
      </c>
      <c r="H398">
        <f t="shared" si="24"/>
        <v>0</v>
      </c>
      <c r="I398">
        <v>23</v>
      </c>
      <c r="J398">
        <v>2.9615384615384617</v>
      </c>
      <c r="K398">
        <f t="shared" si="25"/>
        <v>0</v>
      </c>
      <c r="L398">
        <f t="shared" si="26"/>
        <v>0</v>
      </c>
      <c r="M398">
        <v>14</v>
      </c>
      <c r="N398">
        <v>55</v>
      </c>
      <c r="O398">
        <f t="shared" si="27"/>
        <v>1</v>
      </c>
      <c r="P398">
        <v>0.46600000000000003</v>
      </c>
    </row>
    <row r="399" spans="1:16" x14ac:dyDescent="0.2">
      <c r="A399" t="s">
        <v>816</v>
      </c>
      <c r="B399" t="s">
        <v>610</v>
      </c>
      <c r="C399" t="s">
        <v>97</v>
      </c>
      <c r="D399">
        <v>30</v>
      </c>
      <c r="E399">
        <v>173</v>
      </c>
      <c r="F399">
        <v>5635000</v>
      </c>
      <c r="G399" t="s">
        <v>817</v>
      </c>
      <c r="H399">
        <f t="shared" si="24"/>
        <v>0</v>
      </c>
      <c r="I399">
        <v>21</v>
      </c>
      <c r="J399">
        <v>1.6428571428571428</v>
      </c>
      <c r="K399">
        <f t="shared" si="25"/>
        <v>0</v>
      </c>
      <c r="L399">
        <f t="shared" si="26"/>
        <v>0</v>
      </c>
      <c r="M399">
        <v>3</v>
      </c>
      <c r="N399">
        <v>57</v>
      </c>
      <c r="O399">
        <f t="shared" si="27"/>
        <v>1</v>
      </c>
      <c r="P399">
        <v>0.47099999999999997</v>
      </c>
    </row>
    <row r="400" spans="1:16" x14ac:dyDescent="0.2">
      <c r="A400" t="s">
        <v>818</v>
      </c>
      <c r="B400" t="s">
        <v>610</v>
      </c>
      <c r="C400" t="s">
        <v>97</v>
      </c>
      <c r="D400">
        <v>27</v>
      </c>
      <c r="E400">
        <v>406</v>
      </c>
      <c r="F400">
        <v>2283034</v>
      </c>
      <c r="G400" t="s">
        <v>819</v>
      </c>
      <c r="H400">
        <f t="shared" si="24"/>
        <v>0</v>
      </c>
      <c r="I400">
        <v>23</v>
      </c>
      <c r="J400">
        <v>0.9285714285714286</v>
      </c>
      <c r="K400">
        <f t="shared" si="25"/>
        <v>0</v>
      </c>
      <c r="L400">
        <f t="shared" si="26"/>
        <v>0</v>
      </c>
      <c r="M400">
        <v>9</v>
      </c>
      <c r="N400">
        <v>100</v>
      </c>
      <c r="O400">
        <f t="shared" si="27"/>
        <v>1</v>
      </c>
      <c r="P400">
        <v>0.503</v>
      </c>
    </row>
    <row r="401" spans="1:16" x14ac:dyDescent="0.2">
      <c r="A401" t="s">
        <v>820</v>
      </c>
      <c r="B401" t="s">
        <v>610</v>
      </c>
      <c r="C401" t="s">
        <v>97</v>
      </c>
      <c r="D401">
        <v>31</v>
      </c>
      <c r="E401">
        <v>336</v>
      </c>
      <c r="F401">
        <v>2250000</v>
      </c>
      <c r="G401" t="s">
        <v>821</v>
      </c>
      <c r="H401">
        <f t="shared" si="24"/>
        <v>0</v>
      </c>
      <c r="I401">
        <v>43</v>
      </c>
      <c r="J401">
        <v>2.4507042253521125</v>
      </c>
      <c r="K401">
        <f t="shared" si="25"/>
        <v>0</v>
      </c>
      <c r="L401">
        <f t="shared" si="26"/>
        <v>0</v>
      </c>
      <c r="M401">
        <v>11</v>
      </c>
      <c r="N401">
        <v>105</v>
      </c>
      <c r="O401">
        <f t="shared" si="27"/>
        <v>1</v>
      </c>
      <c r="P401">
        <v>0.41099999999999998</v>
      </c>
    </row>
    <row r="402" spans="1:16" x14ac:dyDescent="0.2">
      <c r="A402" t="s">
        <v>822</v>
      </c>
      <c r="B402" t="s">
        <v>610</v>
      </c>
      <c r="C402" t="s">
        <v>97</v>
      </c>
      <c r="D402">
        <v>19</v>
      </c>
      <c r="E402">
        <v>354</v>
      </c>
      <c r="F402">
        <v>2193040</v>
      </c>
      <c r="G402" t="s">
        <v>823</v>
      </c>
      <c r="H402">
        <f t="shared" si="24"/>
        <v>0</v>
      </c>
      <c r="I402">
        <v>21</v>
      </c>
      <c r="J402">
        <v>1.6415094339622642</v>
      </c>
      <c r="K402">
        <f t="shared" si="25"/>
        <v>0</v>
      </c>
      <c r="L402">
        <f t="shared" si="26"/>
        <v>0</v>
      </c>
      <c r="M402">
        <v>10</v>
      </c>
      <c r="N402">
        <v>179</v>
      </c>
      <c r="O402">
        <f t="shared" si="27"/>
        <v>1</v>
      </c>
      <c r="P402">
        <v>0.47799999999999998</v>
      </c>
    </row>
    <row r="403" spans="1:16" x14ac:dyDescent="0.2">
      <c r="A403" t="s">
        <v>824</v>
      </c>
      <c r="B403" t="s">
        <v>610</v>
      </c>
      <c r="C403" t="s">
        <v>97</v>
      </c>
      <c r="D403">
        <v>22</v>
      </c>
      <c r="E403">
        <v>888</v>
      </c>
      <c r="F403">
        <v>1663861</v>
      </c>
      <c r="G403" t="s">
        <v>825</v>
      </c>
      <c r="H403">
        <f t="shared" si="24"/>
        <v>0</v>
      </c>
      <c r="I403">
        <v>56</v>
      </c>
      <c r="J403">
        <v>1.8604651162790697</v>
      </c>
      <c r="K403">
        <f t="shared" si="25"/>
        <v>0</v>
      </c>
      <c r="L403">
        <f t="shared" si="26"/>
        <v>0</v>
      </c>
      <c r="M403">
        <v>10</v>
      </c>
      <c r="N403">
        <v>152</v>
      </c>
      <c r="O403">
        <f t="shared" si="27"/>
        <v>1</v>
      </c>
      <c r="P403">
        <v>0.51300000000000001</v>
      </c>
    </row>
    <row r="404" spans="1:16" x14ac:dyDescent="0.2">
      <c r="A404" t="s">
        <v>826</v>
      </c>
      <c r="B404" t="s">
        <v>610</v>
      </c>
      <c r="C404" t="s">
        <v>97</v>
      </c>
      <c r="D404">
        <v>27</v>
      </c>
      <c r="E404">
        <v>76</v>
      </c>
      <c r="F404">
        <v>1620564</v>
      </c>
      <c r="G404" t="s">
        <v>827</v>
      </c>
      <c r="H404">
        <f t="shared" si="24"/>
        <v>0</v>
      </c>
      <c r="I404">
        <v>4</v>
      </c>
      <c r="J404">
        <v>2.5714285714285716</v>
      </c>
      <c r="K404">
        <f t="shared" si="25"/>
        <v>0</v>
      </c>
      <c r="L404">
        <f t="shared" si="26"/>
        <v>0</v>
      </c>
      <c r="M404">
        <v>1</v>
      </c>
      <c r="N404">
        <v>17</v>
      </c>
      <c r="O404">
        <f t="shared" si="27"/>
        <v>1</v>
      </c>
      <c r="P404">
        <v>0.50700000000000001</v>
      </c>
    </row>
    <row r="405" spans="1:16" x14ac:dyDescent="0.2">
      <c r="A405" t="s">
        <v>828</v>
      </c>
      <c r="B405" t="s">
        <v>610</v>
      </c>
      <c r="C405" t="s">
        <v>97</v>
      </c>
      <c r="D405">
        <v>27</v>
      </c>
      <c r="E405">
        <v>73</v>
      </c>
      <c r="F405">
        <v>1620564</v>
      </c>
      <c r="G405" t="s">
        <v>829</v>
      </c>
      <c r="H405">
        <f t="shared" si="24"/>
        <v>0</v>
      </c>
      <c r="I405">
        <v>17</v>
      </c>
      <c r="J405">
        <v>2.2727272727272729</v>
      </c>
      <c r="K405">
        <f t="shared" si="25"/>
        <v>0</v>
      </c>
      <c r="L405">
        <f t="shared" si="26"/>
        <v>0</v>
      </c>
      <c r="M405">
        <v>5</v>
      </c>
      <c r="N405">
        <v>48</v>
      </c>
      <c r="O405">
        <f t="shared" si="27"/>
        <v>1</v>
      </c>
      <c r="P405">
        <v>0.35299999999999998</v>
      </c>
    </row>
    <row r="406" spans="1:16" x14ac:dyDescent="0.2">
      <c r="A406" t="s">
        <v>830</v>
      </c>
      <c r="B406" t="s">
        <v>610</v>
      </c>
      <c r="C406" t="s">
        <v>97</v>
      </c>
      <c r="D406">
        <v>26</v>
      </c>
      <c r="E406">
        <v>139</v>
      </c>
      <c r="F406">
        <v>1517981</v>
      </c>
      <c r="G406" t="s">
        <v>831</v>
      </c>
      <c r="H406">
        <f t="shared" si="24"/>
        <v>0</v>
      </c>
      <c r="I406">
        <v>4</v>
      </c>
      <c r="J406">
        <v>1.3571428571428572</v>
      </c>
      <c r="K406">
        <f t="shared" si="25"/>
        <v>0</v>
      </c>
      <c r="L406">
        <f t="shared" si="26"/>
        <v>0</v>
      </c>
      <c r="M406">
        <v>0</v>
      </c>
      <c r="N406">
        <v>44</v>
      </c>
      <c r="O406">
        <f t="shared" si="27"/>
        <v>1</v>
      </c>
      <c r="P406">
        <v>0.5</v>
      </c>
    </row>
    <row r="407" spans="1:16" x14ac:dyDescent="0.2">
      <c r="A407" t="s">
        <v>832</v>
      </c>
      <c r="B407" t="s">
        <v>610</v>
      </c>
      <c r="C407" t="s">
        <v>97</v>
      </c>
      <c r="D407">
        <v>23</v>
      </c>
      <c r="E407">
        <v>533</v>
      </c>
      <c r="F407">
        <v>1517981</v>
      </c>
      <c r="G407" t="s">
        <v>833</v>
      </c>
      <c r="H407">
        <f t="shared" si="24"/>
        <v>0</v>
      </c>
      <c r="I407">
        <v>44</v>
      </c>
      <c r="J407">
        <v>1.3174603174603174</v>
      </c>
      <c r="K407">
        <f t="shared" si="25"/>
        <v>0</v>
      </c>
      <c r="L407">
        <f t="shared" si="26"/>
        <v>0</v>
      </c>
      <c r="M407">
        <v>14</v>
      </c>
      <c r="N407">
        <v>154</v>
      </c>
      <c r="O407">
        <f t="shared" si="27"/>
        <v>1</v>
      </c>
      <c r="P407">
        <v>0.53500000000000003</v>
      </c>
    </row>
    <row r="408" spans="1:16" x14ac:dyDescent="0.2">
      <c r="A408" t="s">
        <v>834</v>
      </c>
      <c r="B408" t="s">
        <v>610</v>
      </c>
      <c r="C408" t="s">
        <v>97</v>
      </c>
      <c r="D408">
        <v>23</v>
      </c>
      <c r="E408">
        <v>127</v>
      </c>
      <c r="F408">
        <v>1445697</v>
      </c>
      <c r="G408" t="s">
        <v>835</v>
      </c>
      <c r="H408">
        <f t="shared" si="24"/>
        <v>0</v>
      </c>
      <c r="I408">
        <v>15</v>
      </c>
      <c r="J408">
        <v>1.5714285714285714</v>
      </c>
      <c r="K408">
        <f t="shared" si="25"/>
        <v>0</v>
      </c>
      <c r="L408">
        <f t="shared" si="26"/>
        <v>0</v>
      </c>
      <c r="M408">
        <v>10</v>
      </c>
      <c r="N408">
        <v>71</v>
      </c>
      <c r="O408">
        <f t="shared" si="27"/>
        <v>1</v>
      </c>
      <c r="P408">
        <v>0.5</v>
      </c>
    </row>
    <row r="409" spans="1:16" x14ac:dyDescent="0.2">
      <c r="A409" t="s">
        <v>836</v>
      </c>
      <c r="B409" t="s">
        <v>610</v>
      </c>
      <c r="C409" t="s">
        <v>97</v>
      </c>
      <c r="D409">
        <v>32</v>
      </c>
      <c r="E409">
        <v>371</v>
      </c>
      <c r="F409">
        <v>510589</v>
      </c>
      <c r="G409" t="s">
        <v>837</v>
      </c>
      <c r="H409">
        <f t="shared" si="24"/>
        <v>0</v>
      </c>
      <c r="I409">
        <v>34</v>
      </c>
      <c r="J409">
        <v>2.0625</v>
      </c>
      <c r="K409">
        <f t="shared" si="25"/>
        <v>0</v>
      </c>
      <c r="L409">
        <f t="shared" si="26"/>
        <v>0</v>
      </c>
      <c r="M409">
        <v>12</v>
      </c>
      <c r="N409">
        <v>88</v>
      </c>
      <c r="O409">
        <f t="shared" si="27"/>
        <v>1</v>
      </c>
      <c r="P409">
        <v>0.496</v>
      </c>
    </row>
    <row r="410" spans="1:16" x14ac:dyDescent="0.2">
      <c r="A410" t="s">
        <v>838</v>
      </c>
      <c r="B410" t="s">
        <v>610</v>
      </c>
      <c r="C410" t="s">
        <v>97</v>
      </c>
      <c r="D410">
        <v>26</v>
      </c>
      <c r="E410">
        <v>41</v>
      </c>
      <c r="F410">
        <v>449155</v>
      </c>
      <c r="G410" t="s">
        <v>839</v>
      </c>
      <c r="H410">
        <f t="shared" si="24"/>
        <v>0</v>
      </c>
      <c r="I410">
        <v>13</v>
      </c>
      <c r="J410">
        <v>3</v>
      </c>
      <c r="K410">
        <f t="shared" si="25"/>
        <v>0</v>
      </c>
      <c r="L410">
        <f t="shared" si="26"/>
        <v>0</v>
      </c>
      <c r="M410">
        <v>2</v>
      </c>
      <c r="N410">
        <v>18</v>
      </c>
      <c r="O410">
        <f t="shared" si="27"/>
        <v>1</v>
      </c>
      <c r="P410">
        <v>0.40200000000000002</v>
      </c>
    </row>
    <row r="411" spans="1:16" x14ac:dyDescent="0.2">
      <c r="A411" t="s">
        <v>840</v>
      </c>
      <c r="B411" t="s">
        <v>610</v>
      </c>
      <c r="C411" t="s">
        <v>97</v>
      </c>
      <c r="D411">
        <v>24</v>
      </c>
      <c r="E411">
        <v>125</v>
      </c>
      <c r="F411">
        <v>449155</v>
      </c>
      <c r="G411" t="s">
        <v>841</v>
      </c>
      <c r="H411">
        <f t="shared" si="24"/>
        <v>0</v>
      </c>
      <c r="I411">
        <v>15</v>
      </c>
      <c r="J411">
        <v>1.3636363636363635</v>
      </c>
      <c r="K411">
        <f t="shared" si="25"/>
        <v>0</v>
      </c>
      <c r="L411">
        <f t="shared" si="26"/>
        <v>0</v>
      </c>
      <c r="M411">
        <v>10</v>
      </c>
      <c r="N411">
        <v>53</v>
      </c>
      <c r="O411">
        <f t="shared" si="27"/>
        <v>1</v>
      </c>
      <c r="P411">
        <v>0.435</v>
      </c>
    </row>
    <row r="412" spans="1:16" x14ac:dyDescent="0.2">
      <c r="A412" t="s">
        <v>842</v>
      </c>
      <c r="B412" t="s">
        <v>610</v>
      </c>
      <c r="C412" t="s">
        <v>97</v>
      </c>
      <c r="D412">
        <v>27</v>
      </c>
      <c r="E412">
        <v>56</v>
      </c>
      <c r="F412">
        <v>214169</v>
      </c>
      <c r="G412" t="s">
        <v>843</v>
      </c>
      <c r="H412">
        <f t="shared" si="24"/>
        <v>0</v>
      </c>
      <c r="I412">
        <v>7</v>
      </c>
      <c r="J412">
        <v>7.333333333333333</v>
      </c>
      <c r="K412">
        <f t="shared" si="25"/>
        <v>0</v>
      </c>
      <c r="L412">
        <f t="shared" si="26"/>
        <v>0</v>
      </c>
      <c r="M412">
        <v>3</v>
      </c>
      <c r="N412">
        <v>19</v>
      </c>
      <c r="O412">
        <f t="shared" si="27"/>
        <v>1</v>
      </c>
      <c r="P412">
        <v>0.43</v>
      </c>
    </row>
    <row r="413" spans="1:16" x14ac:dyDescent="0.2">
      <c r="A413" t="s">
        <v>844</v>
      </c>
      <c r="B413" t="s">
        <v>610</v>
      </c>
      <c r="C413" t="s">
        <v>97</v>
      </c>
      <c r="D413">
        <v>28</v>
      </c>
      <c r="E413">
        <v>285</v>
      </c>
      <c r="F413">
        <v>188696</v>
      </c>
      <c r="G413" t="s">
        <v>845</v>
      </c>
      <c r="H413">
        <f t="shared" si="24"/>
        <v>0</v>
      </c>
      <c r="I413">
        <v>30</v>
      </c>
      <c r="J413">
        <v>2.25</v>
      </c>
      <c r="K413">
        <f t="shared" si="25"/>
        <v>0</v>
      </c>
      <c r="L413">
        <f t="shared" si="26"/>
        <v>0</v>
      </c>
      <c r="M413">
        <v>2</v>
      </c>
      <c r="N413">
        <v>82</v>
      </c>
      <c r="O413">
        <f t="shared" si="27"/>
        <v>1</v>
      </c>
      <c r="P413">
        <v>0.53700000000000003</v>
      </c>
    </row>
    <row r="414" spans="1:16" x14ac:dyDescent="0.2">
      <c r="A414" t="s">
        <v>846</v>
      </c>
      <c r="B414" t="s">
        <v>610</v>
      </c>
      <c r="C414" t="s">
        <v>136</v>
      </c>
      <c r="D414">
        <v>32</v>
      </c>
      <c r="E414">
        <v>1445</v>
      </c>
      <c r="F414">
        <v>41358814</v>
      </c>
      <c r="G414" t="s">
        <v>847</v>
      </c>
      <c r="H414">
        <f t="shared" si="24"/>
        <v>0</v>
      </c>
      <c r="I414">
        <v>89</v>
      </c>
      <c r="J414">
        <v>2.4455128205128207</v>
      </c>
      <c r="K414">
        <f t="shared" si="25"/>
        <v>1</v>
      </c>
      <c r="L414">
        <f t="shared" si="26"/>
        <v>0</v>
      </c>
      <c r="M414">
        <v>23</v>
      </c>
      <c r="N414">
        <v>750</v>
      </c>
      <c r="O414">
        <f t="shared" si="27"/>
        <v>1</v>
      </c>
      <c r="P414">
        <v>0.47399999999999998</v>
      </c>
    </row>
    <row r="415" spans="1:16" x14ac:dyDescent="0.2">
      <c r="A415" t="s">
        <v>848</v>
      </c>
      <c r="B415" t="s">
        <v>610</v>
      </c>
      <c r="C415" t="s">
        <v>136</v>
      </c>
      <c r="D415">
        <v>30</v>
      </c>
      <c r="E415">
        <v>829</v>
      </c>
      <c r="F415">
        <v>34379100</v>
      </c>
      <c r="G415" t="s">
        <v>849</v>
      </c>
      <c r="H415">
        <f t="shared" si="24"/>
        <v>0</v>
      </c>
      <c r="I415">
        <v>48</v>
      </c>
      <c r="J415">
        <v>2.4090909090909092</v>
      </c>
      <c r="K415">
        <f t="shared" si="25"/>
        <v>1</v>
      </c>
      <c r="L415">
        <f t="shared" si="26"/>
        <v>0</v>
      </c>
      <c r="M415">
        <v>12</v>
      </c>
      <c r="N415">
        <v>170</v>
      </c>
      <c r="O415">
        <f t="shared" si="27"/>
        <v>1</v>
      </c>
      <c r="P415">
        <v>0.51400000000000001</v>
      </c>
    </row>
    <row r="416" spans="1:16" x14ac:dyDescent="0.2">
      <c r="A416" t="s">
        <v>850</v>
      </c>
      <c r="B416" t="s">
        <v>610</v>
      </c>
      <c r="C416" t="s">
        <v>136</v>
      </c>
      <c r="D416">
        <v>28</v>
      </c>
      <c r="E416">
        <v>1451</v>
      </c>
      <c r="F416">
        <v>31742000</v>
      </c>
      <c r="G416" t="s">
        <v>851</v>
      </c>
      <c r="H416">
        <f t="shared" si="24"/>
        <v>0</v>
      </c>
      <c r="I416">
        <v>76</v>
      </c>
      <c r="J416">
        <v>2.4923076923076923</v>
      </c>
      <c r="K416">
        <f t="shared" si="25"/>
        <v>1</v>
      </c>
      <c r="L416">
        <f t="shared" si="26"/>
        <v>0</v>
      </c>
      <c r="M416">
        <v>37</v>
      </c>
      <c r="N416">
        <v>257</v>
      </c>
      <c r="O416">
        <f t="shared" si="27"/>
        <v>1</v>
      </c>
      <c r="P416">
        <v>0.57599999999999996</v>
      </c>
    </row>
    <row r="417" spans="1:16" x14ac:dyDescent="0.2">
      <c r="A417" t="s">
        <v>852</v>
      </c>
      <c r="B417" t="s">
        <v>610</v>
      </c>
      <c r="C417" t="s">
        <v>136</v>
      </c>
      <c r="D417">
        <v>24</v>
      </c>
      <c r="E417">
        <v>829</v>
      </c>
      <c r="F417">
        <v>30559200</v>
      </c>
      <c r="G417" t="s">
        <v>853</v>
      </c>
      <c r="H417">
        <f t="shared" si="24"/>
        <v>0</v>
      </c>
      <c r="I417">
        <v>93</v>
      </c>
      <c r="J417">
        <v>2.3179190751445087</v>
      </c>
      <c r="K417">
        <f t="shared" si="25"/>
        <v>1</v>
      </c>
      <c r="L417">
        <f t="shared" si="26"/>
        <v>0</v>
      </c>
      <c r="M417">
        <v>35</v>
      </c>
      <c r="N417">
        <v>417</v>
      </c>
      <c r="O417">
        <f t="shared" si="27"/>
        <v>1</v>
      </c>
      <c r="P417">
        <v>0.56000000000000005</v>
      </c>
    </row>
    <row r="418" spans="1:16" x14ac:dyDescent="0.2">
      <c r="A418" t="s">
        <v>854</v>
      </c>
      <c r="B418" t="s">
        <v>610</v>
      </c>
      <c r="C418" t="s">
        <v>136</v>
      </c>
      <c r="D418">
        <v>34</v>
      </c>
      <c r="E418">
        <v>791</v>
      </c>
      <c r="F418">
        <v>30500000</v>
      </c>
      <c r="G418" t="s">
        <v>855</v>
      </c>
      <c r="H418">
        <f t="shared" si="24"/>
        <v>0</v>
      </c>
      <c r="I418">
        <v>45</v>
      </c>
      <c r="J418">
        <v>2.6825396825396823</v>
      </c>
      <c r="K418">
        <f t="shared" si="25"/>
        <v>1</v>
      </c>
      <c r="L418">
        <f t="shared" si="26"/>
        <v>0</v>
      </c>
      <c r="M418">
        <v>14</v>
      </c>
      <c r="N418">
        <v>247</v>
      </c>
      <c r="O418">
        <f t="shared" si="27"/>
        <v>1</v>
      </c>
      <c r="P418">
        <v>0.54600000000000004</v>
      </c>
    </row>
    <row r="419" spans="1:16" x14ac:dyDescent="0.2">
      <c r="A419" t="s">
        <v>856</v>
      </c>
      <c r="B419" t="s">
        <v>610</v>
      </c>
      <c r="C419" t="s">
        <v>136</v>
      </c>
      <c r="D419">
        <v>27</v>
      </c>
      <c r="E419">
        <v>1878</v>
      </c>
      <c r="F419">
        <v>28751775</v>
      </c>
      <c r="G419" t="s">
        <v>857</v>
      </c>
      <c r="H419">
        <f t="shared" si="24"/>
        <v>0</v>
      </c>
      <c r="I419">
        <v>69</v>
      </c>
      <c r="J419">
        <v>1.4171122994652405</v>
      </c>
      <c r="K419">
        <f t="shared" si="25"/>
        <v>1</v>
      </c>
      <c r="L419">
        <f t="shared" si="26"/>
        <v>0</v>
      </c>
      <c r="M419">
        <v>22</v>
      </c>
      <c r="N419">
        <v>283</v>
      </c>
      <c r="O419">
        <f t="shared" si="27"/>
        <v>1</v>
      </c>
      <c r="P419">
        <v>0.53200000000000003</v>
      </c>
    </row>
    <row r="420" spans="1:16" x14ac:dyDescent="0.2">
      <c r="A420" t="s">
        <v>858</v>
      </c>
      <c r="B420" t="s">
        <v>610</v>
      </c>
      <c r="C420" t="s">
        <v>136</v>
      </c>
      <c r="D420">
        <v>30</v>
      </c>
      <c r="E420">
        <v>1046</v>
      </c>
      <c r="F420">
        <v>26231111</v>
      </c>
      <c r="G420" t="s">
        <v>859</v>
      </c>
      <c r="H420">
        <f t="shared" si="24"/>
        <v>0</v>
      </c>
      <c r="I420">
        <v>96</v>
      </c>
      <c r="J420">
        <v>2.811023622047244</v>
      </c>
      <c r="K420">
        <f t="shared" si="25"/>
        <v>1</v>
      </c>
      <c r="L420">
        <f t="shared" si="26"/>
        <v>0</v>
      </c>
      <c r="M420">
        <v>37</v>
      </c>
      <c r="N420">
        <v>268</v>
      </c>
      <c r="O420">
        <f t="shared" si="27"/>
        <v>1</v>
      </c>
      <c r="P420">
        <v>0.56999999999999995</v>
      </c>
    </row>
    <row r="421" spans="1:16" x14ac:dyDescent="0.2">
      <c r="A421" t="s">
        <v>860</v>
      </c>
      <c r="B421" t="s">
        <v>610</v>
      </c>
      <c r="C421" t="s">
        <v>136</v>
      </c>
      <c r="D421">
        <v>24</v>
      </c>
      <c r="E421">
        <v>1430</v>
      </c>
      <c r="F421">
        <v>23735118</v>
      </c>
      <c r="G421" t="s">
        <v>861</v>
      </c>
      <c r="H421">
        <f t="shared" si="24"/>
        <v>0</v>
      </c>
      <c r="I421">
        <v>72</v>
      </c>
      <c r="J421">
        <v>1.2341772151898733</v>
      </c>
      <c r="K421">
        <f t="shared" si="25"/>
        <v>1</v>
      </c>
      <c r="L421">
        <f t="shared" si="26"/>
        <v>0</v>
      </c>
      <c r="M421">
        <v>32</v>
      </c>
      <c r="N421">
        <v>347</v>
      </c>
      <c r="O421">
        <f t="shared" si="27"/>
        <v>1</v>
      </c>
      <c r="P421">
        <v>0.55800000000000005</v>
      </c>
    </row>
    <row r="422" spans="1:16" x14ac:dyDescent="0.2">
      <c r="A422" t="s">
        <v>862</v>
      </c>
      <c r="B422" t="s">
        <v>610</v>
      </c>
      <c r="C422" t="s">
        <v>136</v>
      </c>
      <c r="D422">
        <v>26</v>
      </c>
      <c r="E422">
        <v>1019</v>
      </c>
      <c r="F422">
        <v>21250000</v>
      </c>
      <c r="G422" t="s">
        <v>863</v>
      </c>
      <c r="H422">
        <f t="shared" si="24"/>
        <v>0</v>
      </c>
      <c r="I422">
        <v>87</v>
      </c>
      <c r="J422">
        <v>3.4526315789473685</v>
      </c>
      <c r="K422">
        <f t="shared" si="25"/>
        <v>1</v>
      </c>
      <c r="L422">
        <f t="shared" si="26"/>
        <v>0</v>
      </c>
      <c r="M422">
        <v>37</v>
      </c>
      <c r="N422">
        <v>220</v>
      </c>
      <c r="O422">
        <f t="shared" si="27"/>
        <v>1</v>
      </c>
      <c r="P422">
        <v>0.48899999999999999</v>
      </c>
    </row>
    <row r="423" spans="1:16" x14ac:dyDescent="0.2">
      <c r="A423" t="s">
        <v>864</v>
      </c>
      <c r="B423" t="s">
        <v>610</v>
      </c>
      <c r="C423" t="s">
        <v>136</v>
      </c>
      <c r="D423">
        <v>28</v>
      </c>
      <c r="E423">
        <v>1186</v>
      </c>
      <c r="F423">
        <v>20700000</v>
      </c>
      <c r="G423" t="s">
        <v>865</v>
      </c>
      <c r="H423">
        <f t="shared" si="24"/>
        <v>0</v>
      </c>
      <c r="I423">
        <v>49</v>
      </c>
      <c r="J423">
        <v>2.8608695652173912</v>
      </c>
      <c r="K423">
        <f t="shared" si="25"/>
        <v>1</v>
      </c>
      <c r="L423">
        <f t="shared" si="26"/>
        <v>0</v>
      </c>
      <c r="M423">
        <v>15</v>
      </c>
      <c r="N423">
        <v>294</v>
      </c>
      <c r="O423">
        <f t="shared" si="27"/>
        <v>1</v>
      </c>
      <c r="P423">
        <v>0.52700000000000002</v>
      </c>
    </row>
    <row r="424" spans="1:16" x14ac:dyDescent="0.2">
      <c r="A424" t="s">
        <v>866</v>
      </c>
      <c r="B424" t="s">
        <v>610</v>
      </c>
      <c r="C424" t="s">
        <v>136</v>
      </c>
      <c r="D424">
        <v>25</v>
      </c>
      <c r="E424">
        <v>1591</v>
      </c>
      <c r="F424">
        <v>19500000</v>
      </c>
      <c r="G424" t="s">
        <v>867</v>
      </c>
      <c r="H424">
        <f t="shared" si="24"/>
        <v>0</v>
      </c>
      <c r="I424">
        <v>46</v>
      </c>
      <c r="J424">
        <v>1.3891625615763548</v>
      </c>
      <c r="K424">
        <f t="shared" si="25"/>
        <v>1</v>
      </c>
      <c r="L424">
        <f t="shared" si="26"/>
        <v>0</v>
      </c>
      <c r="M424">
        <v>27</v>
      </c>
      <c r="N424">
        <v>289</v>
      </c>
      <c r="O424">
        <f t="shared" si="27"/>
        <v>1</v>
      </c>
      <c r="P424">
        <v>0.59599999999999997</v>
      </c>
    </row>
    <row r="425" spans="1:16" x14ac:dyDescent="0.2">
      <c r="A425" t="s">
        <v>868</v>
      </c>
      <c r="B425" t="s">
        <v>610</v>
      </c>
      <c r="C425" t="s">
        <v>136</v>
      </c>
      <c r="D425">
        <v>26</v>
      </c>
      <c r="E425">
        <v>1407</v>
      </c>
      <c r="F425">
        <v>18900000</v>
      </c>
      <c r="G425" t="s">
        <v>869</v>
      </c>
      <c r="H425">
        <f t="shared" si="24"/>
        <v>0</v>
      </c>
      <c r="I425">
        <v>87</v>
      </c>
      <c r="J425">
        <v>2.2890625</v>
      </c>
      <c r="K425">
        <f t="shared" si="25"/>
        <v>1</v>
      </c>
      <c r="L425">
        <f t="shared" si="26"/>
        <v>0</v>
      </c>
      <c r="M425">
        <v>26</v>
      </c>
      <c r="N425">
        <v>302</v>
      </c>
      <c r="O425">
        <f t="shared" si="27"/>
        <v>1</v>
      </c>
      <c r="P425">
        <v>0.54800000000000004</v>
      </c>
    </row>
    <row r="426" spans="1:16" x14ac:dyDescent="0.2">
      <c r="A426" t="s">
        <v>870</v>
      </c>
      <c r="B426" t="s">
        <v>610</v>
      </c>
      <c r="C426" t="s">
        <v>136</v>
      </c>
      <c r="D426">
        <v>28</v>
      </c>
      <c r="E426">
        <v>720</v>
      </c>
      <c r="F426">
        <v>18000000</v>
      </c>
      <c r="G426" t="s">
        <v>871</v>
      </c>
      <c r="H426">
        <f t="shared" si="24"/>
        <v>0</v>
      </c>
      <c r="I426">
        <v>49</v>
      </c>
      <c r="J426">
        <v>2.7222222222222223</v>
      </c>
      <c r="K426">
        <f t="shared" si="25"/>
        <v>1</v>
      </c>
      <c r="L426">
        <f t="shared" si="26"/>
        <v>0</v>
      </c>
      <c r="M426">
        <v>13</v>
      </c>
      <c r="N426">
        <v>160</v>
      </c>
      <c r="O426">
        <f t="shared" si="27"/>
        <v>1</v>
      </c>
      <c r="P426">
        <v>0.60199999999999998</v>
      </c>
    </row>
    <row r="427" spans="1:16" x14ac:dyDescent="0.2">
      <c r="A427" t="s">
        <v>872</v>
      </c>
      <c r="B427" t="s">
        <v>610</v>
      </c>
      <c r="C427" t="s">
        <v>136</v>
      </c>
      <c r="D427">
        <v>34</v>
      </c>
      <c r="E427">
        <v>672</v>
      </c>
      <c r="F427">
        <v>18000000</v>
      </c>
      <c r="G427" t="s">
        <v>873</v>
      </c>
      <c r="H427">
        <f t="shared" si="24"/>
        <v>0</v>
      </c>
      <c r="I427">
        <v>33</v>
      </c>
      <c r="J427">
        <v>1.8559322033898304</v>
      </c>
      <c r="K427">
        <f t="shared" si="25"/>
        <v>1</v>
      </c>
      <c r="L427">
        <f t="shared" si="26"/>
        <v>0</v>
      </c>
      <c r="M427">
        <v>8</v>
      </c>
      <c r="N427">
        <v>169</v>
      </c>
      <c r="O427">
        <f t="shared" si="27"/>
        <v>1</v>
      </c>
      <c r="P427">
        <v>0.51400000000000001</v>
      </c>
    </row>
    <row r="428" spans="1:16" x14ac:dyDescent="0.2">
      <c r="A428" t="s">
        <v>874</v>
      </c>
      <c r="B428" t="s">
        <v>610</v>
      </c>
      <c r="C428" t="s">
        <v>136</v>
      </c>
      <c r="D428">
        <v>29</v>
      </c>
      <c r="E428">
        <v>717</v>
      </c>
      <c r="F428">
        <v>13500000</v>
      </c>
      <c r="G428" t="s">
        <v>875</v>
      </c>
      <c r="H428">
        <f t="shared" si="24"/>
        <v>0</v>
      </c>
      <c r="I428">
        <v>47</v>
      </c>
      <c r="J428">
        <v>1.4594594594594594</v>
      </c>
      <c r="K428">
        <f t="shared" si="25"/>
        <v>1</v>
      </c>
      <c r="L428">
        <f t="shared" si="26"/>
        <v>0</v>
      </c>
      <c r="M428">
        <v>21</v>
      </c>
      <c r="N428">
        <v>158</v>
      </c>
      <c r="O428">
        <f t="shared" si="27"/>
        <v>1</v>
      </c>
      <c r="P428">
        <v>0.48499999999999999</v>
      </c>
    </row>
    <row r="429" spans="1:16" x14ac:dyDescent="0.2">
      <c r="A429" t="s">
        <v>876</v>
      </c>
      <c r="B429" t="s">
        <v>610</v>
      </c>
      <c r="C429" t="s">
        <v>136</v>
      </c>
      <c r="D429">
        <v>26</v>
      </c>
      <c r="E429">
        <v>627</v>
      </c>
      <c r="F429">
        <v>13446428</v>
      </c>
      <c r="G429" t="s">
        <v>877</v>
      </c>
      <c r="H429">
        <f t="shared" si="24"/>
        <v>0</v>
      </c>
      <c r="I429">
        <v>72</v>
      </c>
      <c r="J429">
        <v>2.84375</v>
      </c>
      <c r="K429">
        <f t="shared" si="25"/>
        <v>1</v>
      </c>
      <c r="L429">
        <f t="shared" si="26"/>
        <v>0</v>
      </c>
      <c r="M429">
        <v>23</v>
      </c>
      <c r="N429">
        <v>167</v>
      </c>
      <c r="O429">
        <f t="shared" si="27"/>
        <v>1</v>
      </c>
      <c r="P429">
        <v>0.48899999999999999</v>
      </c>
    </row>
    <row r="430" spans="1:16" x14ac:dyDescent="0.2">
      <c r="A430" t="s">
        <v>878</v>
      </c>
      <c r="B430" t="s">
        <v>610</v>
      </c>
      <c r="C430" t="s">
        <v>136</v>
      </c>
      <c r="D430">
        <v>22</v>
      </c>
      <c r="E430">
        <v>103</v>
      </c>
      <c r="F430">
        <v>12288697</v>
      </c>
      <c r="G430" t="s">
        <v>879</v>
      </c>
      <c r="H430">
        <f t="shared" si="24"/>
        <v>0</v>
      </c>
      <c r="I430">
        <v>8</v>
      </c>
      <c r="J430">
        <v>2.3888888888888888</v>
      </c>
      <c r="K430">
        <f t="shared" si="25"/>
        <v>1</v>
      </c>
      <c r="L430">
        <f t="shared" si="26"/>
        <v>0</v>
      </c>
      <c r="M430">
        <v>2</v>
      </c>
      <c r="N430">
        <v>25</v>
      </c>
      <c r="O430">
        <f t="shared" si="27"/>
        <v>1</v>
      </c>
      <c r="P430">
        <v>0.41299999999999998</v>
      </c>
    </row>
    <row r="431" spans="1:16" x14ac:dyDescent="0.2">
      <c r="A431" t="s">
        <v>880</v>
      </c>
      <c r="B431" t="s">
        <v>610</v>
      </c>
      <c r="C431" t="s">
        <v>136</v>
      </c>
      <c r="D431">
        <v>29</v>
      </c>
      <c r="E431">
        <v>249</v>
      </c>
      <c r="F431">
        <v>12178571</v>
      </c>
      <c r="G431" t="s">
        <v>881</v>
      </c>
      <c r="H431">
        <f t="shared" si="24"/>
        <v>0</v>
      </c>
      <c r="I431">
        <v>13</v>
      </c>
      <c r="J431">
        <v>2.8095238095238093</v>
      </c>
      <c r="K431">
        <f t="shared" si="25"/>
        <v>1</v>
      </c>
      <c r="L431">
        <f t="shared" si="26"/>
        <v>0</v>
      </c>
      <c r="M431">
        <v>11</v>
      </c>
      <c r="N431">
        <v>112</v>
      </c>
      <c r="O431">
        <f t="shared" si="27"/>
        <v>1</v>
      </c>
      <c r="P431">
        <v>0.69599999999999995</v>
      </c>
    </row>
    <row r="432" spans="1:16" x14ac:dyDescent="0.2">
      <c r="A432" t="s">
        <v>882</v>
      </c>
      <c r="B432" t="s">
        <v>610</v>
      </c>
      <c r="C432" t="s">
        <v>136</v>
      </c>
      <c r="D432">
        <v>27</v>
      </c>
      <c r="E432">
        <v>20</v>
      </c>
      <c r="F432">
        <v>11454048</v>
      </c>
      <c r="G432" t="s">
        <v>883</v>
      </c>
      <c r="H432">
        <f t="shared" si="24"/>
        <v>0</v>
      </c>
      <c r="I432">
        <v>2</v>
      </c>
      <c r="J432">
        <v>1.8</v>
      </c>
      <c r="K432">
        <f t="shared" si="25"/>
        <v>1</v>
      </c>
      <c r="L432">
        <f t="shared" si="26"/>
        <v>0</v>
      </c>
      <c r="M432">
        <v>1</v>
      </c>
      <c r="N432">
        <v>13</v>
      </c>
      <c r="O432">
        <f t="shared" si="27"/>
        <v>1</v>
      </c>
      <c r="P432">
        <v>0.438</v>
      </c>
    </row>
    <row r="433" spans="1:16" x14ac:dyDescent="0.2">
      <c r="A433" t="s">
        <v>884</v>
      </c>
      <c r="B433" t="s">
        <v>610</v>
      </c>
      <c r="C433" t="s">
        <v>136</v>
      </c>
      <c r="D433">
        <v>28</v>
      </c>
      <c r="E433">
        <v>363</v>
      </c>
      <c r="F433">
        <v>10500000</v>
      </c>
      <c r="G433" t="s">
        <v>885</v>
      </c>
      <c r="H433">
        <f t="shared" si="24"/>
        <v>0</v>
      </c>
      <c r="I433">
        <v>34</v>
      </c>
      <c r="J433">
        <v>2.4090909090909092</v>
      </c>
      <c r="K433">
        <f t="shared" si="25"/>
        <v>1</v>
      </c>
      <c r="L433">
        <f t="shared" si="26"/>
        <v>0</v>
      </c>
      <c r="M433">
        <v>23</v>
      </c>
      <c r="N433">
        <v>131</v>
      </c>
      <c r="O433">
        <f t="shared" si="27"/>
        <v>1</v>
      </c>
      <c r="P433">
        <v>0.52900000000000003</v>
      </c>
    </row>
    <row r="434" spans="1:16" x14ac:dyDescent="0.2">
      <c r="A434" t="s">
        <v>886</v>
      </c>
      <c r="B434" t="s">
        <v>610</v>
      </c>
      <c r="C434" t="s">
        <v>136</v>
      </c>
      <c r="D434">
        <v>29</v>
      </c>
      <c r="E434">
        <v>447</v>
      </c>
      <c r="F434">
        <v>10000000</v>
      </c>
      <c r="G434" t="s">
        <v>887</v>
      </c>
      <c r="H434">
        <f t="shared" si="24"/>
        <v>0</v>
      </c>
      <c r="I434">
        <v>40</v>
      </c>
      <c r="J434">
        <v>2.8229166666666665</v>
      </c>
      <c r="K434">
        <f t="shared" si="25"/>
        <v>1</v>
      </c>
      <c r="L434">
        <f t="shared" si="26"/>
        <v>0</v>
      </c>
      <c r="M434">
        <v>14</v>
      </c>
      <c r="N434">
        <v>142</v>
      </c>
      <c r="O434">
        <f t="shared" si="27"/>
        <v>1</v>
      </c>
      <c r="P434">
        <v>0.57799999999999996</v>
      </c>
    </row>
    <row r="435" spans="1:16" x14ac:dyDescent="0.2">
      <c r="A435" t="s">
        <v>888</v>
      </c>
      <c r="B435" t="s">
        <v>610</v>
      </c>
      <c r="C435" t="s">
        <v>136</v>
      </c>
      <c r="D435">
        <v>25</v>
      </c>
      <c r="E435">
        <v>23</v>
      </c>
      <c r="F435">
        <v>9600000</v>
      </c>
      <c r="G435" t="s">
        <v>889</v>
      </c>
      <c r="H435">
        <f t="shared" si="24"/>
        <v>0</v>
      </c>
      <c r="I435">
        <v>4</v>
      </c>
      <c r="J435">
        <v>1.8571428571428572</v>
      </c>
      <c r="K435">
        <f t="shared" si="25"/>
        <v>1</v>
      </c>
      <c r="L435">
        <f t="shared" si="26"/>
        <v>0</v>
      </c>
      <c r="M435">
        <v>2</v>
      </c>
      <c r="N435">
        <v>17</v>
      </c>
      <c r="O435">
        <f t="shared" si="27"/>
        <v>1</v>
      </c>
      <c r="P435">
        <v>0.42299999999999999</v>
      </c>
    </row>
    <row r="436" spans="1:16" x14ac:dyDescent="0.2">
      <c r="A436" t="s">
        <v>890</v>
      </c>
      <c r="B436" t="s">
        <v>610</v>
      </c>
      <c r="C436" t="s">
        <v>136</v>
      </c>
      <c r="D436">
        <v>20</v>
      </c>
      <c r="E436">
        <v>1264</v>
      </c>
      <c r="F436">
        <v>8231760</v>
      </c>
      <c r="G436" t="s">
        <v>891</v>
      </c>
      <c r="H436">
        <f t="shared" si="24"/>
        <v>0</v>
      </c>
      <c r="I436">
        <v>53</v>
      </c>
      <c r="J436">
        <v>1.5611510791366907</v>
      </c>
      <c r="K436">
        <f t="shared" si="25"/>
        <v>1</v>
      </c>
      <c r="L436">
        <f t="shared" si="26"/>
        <v>0</v>
      </c>
      <c r="M436">
        <v>20</v>
      </c>
      <c r="N436">
        <v>414</v>
      </c>
      <c r="O436">
        <f t="shared" si="27"/>
        <v>1</v>
      </c>
      <c r="P436">
        <v>0.499</v>
      </c>
    </row>
    <row r="437" spans="1:16" x14ac:dyDescent="0.2">
      <c r="A437" t="s">
        <v>892</v>
      </c>
      <c r="B437" t="s">
        <v>610</v>
      </c>
      <c r="C437" t="s">
        <v>136</v>
      </c>
      <c r="D437">
        <v>19</v>
      </c>
      <c r="E437">
        <v>803</v>
      </c>
      <c r="F437">
        <v>7839960</v>
      </c>
      <c r="G437" t="s">
        <v>893</v>
      </c>
      <c r="H437">
        <f t="shared" si="24"/>
        <v>0</v>
      </c>
      <c r="I437">
        <v>81</v>
      </c>
      <c r="J437">
        <v>2.1586206896551725</v>
      </c>
      <c r="K437">
        <f t="shared" si="25"/>
        <v>1</v>
      </c>
      <c r="L437">
        <f t="shared" si="26"/>
        <v>0</v>
      </c>
      <c r="M437">
        <v>18</v>
      </c>
      <c r="N437">
        <v>302</v>
      </c>
      <c r="O437">
        <f t="shared" si="27"/>
        <v>1</v>
      </c>
      <c r="P437">
        <v>0.504</v>
      </c>
    </row>
    <row r="438" spans="1:16" x14ac:dyDescent="0.2">
      <c r="A438" t="s">
        <v>894</v>
      </c>
      <c r="B438" t="s">
        <v>610</v>
      </c>
      <c r="C438" t="s">
        <v>136</v>
      </c>
      <c r="D438">
        <v>30</v>
      </c>
      <c r="E438">
        <v>711</v>
      </c>
      <c r="F438">
        <v>7834449</v>
      </c>
      <c r="G438" t="s">
        <v>895</v>
      </c>
      <c r="H438">
        <f t="shared" si="24"/>
        <v>0</v>
      </c>
      <c r="I438">
        <v>44</v>
      </c>
      <c r="J438">
        <v>2.3846153846153846</v>
      </c>
      <c r="K438">
        <f t="shared" si="25"/>
        <v>1</v>
      </c>
      <c r="L438">
        <f t="shared" si="26"/>
        <v>0</v>
      </c>
      <c r="M438">
        <v>8</v>
      </c>
      <c r="N438">
        <v>136</v>
      </c>
      <c r="O438">
        <f t="shared" si="27"/>
        <v>1</v>
      </c>
      <c r="P438">
        <v>0.58199999999999996</v>
      </c>
    </row>
    <row r="439" spans="1:16" x14ac:dyDescent="0.2">
      <c r="A439" t="s">
        <v>896</v>
      </c>
      <c r="B439" t="s">
        <v>610</v>
      </c>
      <c r="C439" t="s">
        <v>136</v>
      </c>
      <c r="D439">
        <v>21</v>
      </c>
      <c r="E439">
        <v>941</v>
      </c>
      <c r="F439">
        <v>6720720</v>
      </c>
      <c r="G439" t="s">
        <v>897</v>
      </c>
      <c r="H439">
        <f t="shared" si="24"/>
        <v>0</v>
      </c>
      <c r="I439">
        <v>66</v>
      </c>
      <c r="J439">
        <v>2.0060975609756095</v>
      </c>
      <c r="K439">
        <f t="shared" si="25"/>
        <v>1</v>
      </c>
      <c r="L439">
        <f t="shared" si="26"/>
        <v>0</v>
      </c>
      <c r="M439">
        <v>6</v>
      </c>
      <c r="N439">
        <v>129</v>
      </c>
      <c r="O439">
        <f t="shared" si="27"/>
        <v>1</v>
      </c>
      <c r="P439">
        <v>0.51700000000000002</v>
      </c>
    </row>
    <row r="440" spans="1:16" x14ac:dyDescent="0.2">
      <c r="A440" t="s">
        <v>898</v>
      </c>
      <c r="B440" t="s">
        <v>610</v>
      </c>
      <c r="C440" t="s">
        <v>136</v>
      </c>
      <c r="D440">
        <v>22</v>
      </c>
      <c r="E440">
        <v>1594</v>
      </c>
      <c r="F440">
        <v>6571800</v>
      </c>
      <c r="G440" t="s">
        <v>899</v>
      </c>
      <c r="H440">
        <f t="shared" si="24"/>
        <v>0</v>
      </c>
      <c r="I440">
        <v>53</v>
      </c>
      <c r="J440">
        <v>2.2758620689655173</v>
      </c>
      <c r="K440">
        <f t="shared" si="25"/>
        <v>1</v>
      </c>
      <c r="L440">
        <f t="shared" si="26"/>
        <v>0</v>
      </c>
      <c r="M440">
        <v>12</v>
      </c>
      <c r="N440">
        <v>245</v>
      </c>
      <c r="O440">
        <f t="shared" si="27"/>
        <v>1</v>
      </c>
      <c r="P440">
        <v>0.499</v>
      </c>
    </row>
    <row r="441" spans="1:16" x14ac:dyDescent="0.2">
      <c r="A441" t="s">
        <v>900</v>
      </c>
      <c r="B441" t="s">
        <v>610</v>
      </c>
      <c r="C441" t="s">
        <v>136</v>
      </c>
      <c r="D441">
        <v>20</v>
      </c>
      <c r="E441">
        <v>646</v>
      </c>
      <c r="F441">
        <v>6400920</v>
      </c>
      <c r="G441" t="s">
        <v>901</v>
      </c>
      <c r="H441">
        <f t="shared" si="24"/>
        <v>0</v>
      </c>
      <c r="I441">
        <v>62</v>
      </c>
      <c r="J441">
        <v>1.4883720930232558</v>
      </c>
      <c r="K441">
        <f t="shared" si="25"/>
        <v>1</v>
      </c>
      <c r="L441">
        <f t="shared" si="26"/>
        <v>0</v>
      </c>
      <c r="M441">
        <v>24</v>
      </c>
      <c r="N441">
        <v>206</v>
      </c>
      <c r="O441">
        <f t="shared" si="27"/>
        <v>1</v>
      </c>
      <c r="P441">
        <v>0.47599999999999998</v>
      </c>
    </row>
    <row r="442" spans="1:16" x14ac:dyDescent="0.2">
      <c r="A442" t="s">
        <v>902</v>
      </c>
      <c r="B442" t="s">
        <v>610</v>
      </c>
      <c r="C442" t="s">
        <v>136</v>
      </c>
      <c r="D442">
        <v>22</v>
      </c>
      <c r="E442">
        <v>89</v>
      </c>
      <c r="F442">
        <v>6176578</v>
      </c>
      <c r="G442" t="s">
        <v>903</v>
      </c>
      <c r="H442">
        <f t="shared" si="24"/>
        <v>0</v>
      </c>
      <c r="I442">
        <v>18</v>
      </c>
      <c r="J442">
        <v>1.7272727272727273</v>
      </c>
      <c r="K442">
        <f t="shared" si="25"/>
        <v>1</v>
      </c>
      <c r="L442">
        <f t="shared" si="26"/>
        <v>0</v>
      </c>
      <c r="M442">
        <v>4</v>
      </c>
      <c r="N442">
        <v>31</v>
      </c>
      <c r="O442">
        <f t="shared" si="27"/>
        <v>1</v>
      </c>
      <c r="P442">
        <v>0.51300000000000001</v>
      </c>
    </row>
    <row r="443" spans="1:16" x14ac:dyDescent="0.2">
      <c r="A443" t="s">
        <v>904</v>
      </c>
      <c r="B443" t="s">
        <v>610</v>
      </c>
      <c r="C443" t="s">
        <v>136</v>
      </c>
      <c r="D443">
        <v>32</v>
      </c>
      <c r="E443">
        <v>295</v>
      </c>
      <c r="F443">
        <v>6000000</v>
      </c>
      <c r="G443" t="s">
        <v>905</v>
      </c>
      <c r="H443">
        <f t="shared" si="24"/>
        <v>0</v>
      </c>
      <c r="I443">
        <v>32</v>
      </c>
      <c r="J443">
        <v>4.1951219512195124</v>
      </c>
      <c r="K443">
        <f t="shared" si="25"/>
        <v>1</v>
      </c>
      <c r="L443">
        <f t="shared" si="26"/>
        <v>0</v>
      </c>
      <c r="M443">
        <v>13</v>
      </c>
      <c r="N443">
        <v>150</v>
      </c>
      <c r="O443">
        <f t="shared" si="27"/>
        <v>1</v>
      </c>
      <c r="P443">
        <v>0.46500000000000002</v>
      </c>
    </row>
    <row r="444" spans="1:16" x14ac:dyDescent="0.2">
      <c r="A444" t="s">
        <v>906</v>
      </c>
      <c r="B444" t="s">
        <v>610</v>
      </c>
      <c r="C444" t="s">
        <v>136</v>
      </c>
      <c r="D444">
        <v>29</v>
      </c>
      <c r="E444">
        <v>623</v>
      </c>
      <c r="F444">
        <v>6000000</v>
      </c>
      <c r="G444" t="s">
        <v>907</v>
      </c>
      <c r="H444">
        <f t="shared" si="24"/>
        <v>0</v>
      </c>
      <c r="I444">
        <v>31</v>
      </c>
      <c r="J444">
        <v>2.1836734693877551</v>
      </c>
      <c r="K444">
        <f t="shared" si="25"/>
        <v>1</v>
      </c>
      <c r="L444">
        <f t="shared" si="26"/>
        <v>0</v>
      </c>
      <c r="M444">
        <v>14</v>
      </c>
      <c r="N444">
        <v>227</v>
      </c>
      <c r="O444">
        <f t="shared" si="27"/>
        <v>1</v>
      </c>
      <c r="P444">
        <v>0.52200000000000002</v>
      </c>
    </row>
    <row r="445" spans="1:16" x14ac:dyDescent="0.2">
      <c r="A445" t="s">
        <v>908</v>
      </c>
      <c r="B445" t="s">
        <v>610</v>
      </c>
      <c r="C445" t="s">
        <v>136</v>
      </c>
      <c r="D445">
        <v>31</v>
      </c>
      <c r="E445">
        <v>756</v>
      </c>
      <c r="F445">
        <v>5720000</v>
      </c>
      <c r="G445" t="s">
        <v>909</v>
      </c>
      <c r="H445">
        <f t="shared" si="24"/>
        <v>0</v>
      </c>
      <c r="I445">
        <v>74</v>
      </c>
      <c r="J445">
        <v>2.2037037037037037</v>
      </c>
      <c r="K445">
        <f t="shared" si="25"/>
        <v>1</v>
      </c>
      <c r="L445">
        <f t="shared" si="26"/>
        <v>0</v>
      </c>
      <c r="M445">
        <v>41</v>
      </c>
      <c r="N445">
        <v>256</v>
      </c>
      <c r="O445">
        <f t="shared" si="27"/>
        <v>1</v>
      </c>
      <c r="P445">
        <v>0.55100000000000005</v>
      </c>
    </row>
    <row r="446" spans="1:16" x14ac:dyDescent="0.2">
      <c r="A446" t="s">
        <v>910</v>
      </c>
      <c r="B446" t="s">
        <v>610</v>
      </c>
      <c r="C446" t="s">
        <v>136</v>
      </c>
      <c r="D446">
        <v>20</v>
      </c>
      <c r="E446">
        <v>1041</v>
      </c>
      <c r="F446">
        <v>5572680</v>
      </c>
      <c r="G446" t="s">
        <v>911</v>
      </c>
      <c r="H446">
        <f t="shared" si="24"/>
        <v>0</v>
      </c>
      <c r="I446">
        <v>38</v>
      </c>
      <c r="J446">
        <v>2.1025641025641026</v>
      </c>
      <c r="K446">
        <f t="shared" si="25"/>
        <v>1</v>
      </c>
      <c r="L446">
        <f t="shared" si="26"/>
        <v>0</v>
      </c>
      <c r="M446">
        <v>15</v>
      </c>
      <c r="N446">
        <v>284</v>
      </c>
      <c r="O446">
        <f t="shared" si="27"/>
        <v>1</v>
      </c>
      <c r="P446">
        <v>0.50600000000000001</v>
      </c>
    </row>
    <row r="447" spans="1:16" x14ac:dyDescent="0.2">
      <c r="A447" t="s">
        <v>912</v>
      </c>
      <c r="B447" t="s">
        <v>610</v>
      </c>
      <c r="C447" t="s">
        <v>136</v>
      </c>
      <c r="D447">
        <v>22</v>
      </c>
      <c r="E447">
        <v>490</v>
      </c>
      <c r="F447">
        <v>5345687</v>
      </c>
      <c r="G447" t="s">
        <v>913</v>
      </c>
      <c r="H447">
        <f t="shared" si="24"/>
        <v>0</v>
      </c>
      <c r="I447">
        <v>19</v>
      </c>
      <c r="J447">
        <v>1.5818181818181818</v>
      </c>
      <c r="K447">
        <f t="shared" si="25"/>
        <v>1</v>
      </c>
      <c r="L447">
        <f t="shared" si="26"/>
        <v>0</v>
      </c>
      <c r="M447">
        <v>4</v>
      </c>
      <c r="N447">
        <v>101</v>
      </c>
      <c r="O447">
        <f t="shared" si="27"/>
        <v>1</v>
      </c>
      <c r="P447">
        <v>0.54</v>
      </c>
    </row>
    <row r="448" spans="1:16" x14ac:dyDescent="0.2">
      <c r="A448" t="s">
        <v>914</v>
      </c>
      <c r="B448" t="s">
        <v>610</v>
      </c>
      <c r="C448" t="s">
        <v>136</v>
      </c>
      <c r="D448">
        <v>19</v>
      </c>
      <c r="E448">
        <v>176</v>
      </c>
      <c r="F448">
        <v>5307120</v>
      </c>
      <c r="G448" t="s">
        <v>915</v>
      </c>
      <c r="H448">
        <f t="shared" si="24"/>
        <v>0</v>
      </c>
      <c r="I448">
        <v>27</v>
      </c>
      <c r="J448">
        <v>1.6626506024096386</v>
      </c>
      <c r="K448">
        <f t="shared" si="25"/>
        <v>1</v>
      </c>
      <c r="L448">
        <f t="shared" si="26"/>
        <v>0</v>
      </c>
      <c r="M448">
        <v>10</v>
      </c>
      <c r="N448">
        <v>69</v>
      </c>
      <c r="O448">
        <f t="shared" si="27"/>
        <v>1</v>
      </c>
      <c r="P448">
        <v>0.40300000000000002</v>
      </c>
    </row>
    <row r="449" spans="1:16" x14ac:dyDescent="0.2">
      <c r="A449" t="s">
        <v>916</v>
      </c>
      <c r="B449" t="s">
        <v>610</v>
      </c>
      <c r="C449" t="s">
        <v>136</v>
      </c>
      <c r="D449">
        <v>29</v>
      </c>
      <c r="E449">
        <v>91</v>
      </c>
      <c r="F449">
        <v>5192307</v>
      </c>
      <c r="G449" t="s">
        <v>917</v>
      </c>
      <c r="H449">
        <f t="shared" si="24"/>
        <v>0</v>
      </c>
      <c r="I449">
        <v>8</v>
      </c>
      <c r="J449">
        <v>2.2857142857142856</v>
      </c>
      <c r="K449">
        <f t="shared" si="25"/>
        <v>1</v>
      </c>
      <c r="L449">
        <f t="shared" si="26"/>
        <v>0</v>
      </c>
      <c r="M449">
        <v>1</v>
      </c>
      <c r="N449">
        <v>22</v>
      </c>
      <c r="O449">
        <f t="shared" si="27"/>
        <v>1</v>
      </c>
      <c r="P449">
        <v>0.60699999999999998</v>
      </c>
    </row>
    <row r="450" spans="1:16" x14ac:dyDescent="0.2">
      <c r="A450" t="s">
        <v>918</v>
      </c>
      <c r="B450" t="s">
        <v>610</v>
      </c>
      <c r="C450" t="s">
        <v>136</v>
      </c>
      <c r="D450">
        <v>22</v>
      </c>
      <c r="E450">
        <v>1460</v>
      </c>
      <c r="F450">
        <v>4991880</v>
      </c>
      <c r="G450" t="s">
        <v>919</v>
      </c>
      <c r="H450">
        <f t="shared" ref="H450:H514" si="28">IF(B450="Forward", 1, 0)</f>
        <v>0</v>
      </c>
      <c r="I450">
        <v>62</v>
      </c>
      <c r="J450">
        <v>1.5688622754491017</v>
      </c>
      <c r="K450">
        <f t="shared" ref="K450:K514" si="29">IF(C450="East", 1, 0)</f>
        <v>1</v>
      </c>
      <c r="L450">
        <f t="shared" ref="L450:L514" si="30">IF(C450="West", 1, 0)</f>
        <v>0</v>
      </c>
      <c r="M450">
        <v>10</v>
      </c>
      <c r="N450">
        <v>187</v>
      </c>
      <c r="O450">
        <f t="shared" ref="O450:O514" si="31">IF($B450="Guard", 1, 0)</f>
        <v>1</v>
      </c>
      <c r="P450">
        <v>0.51900000000000002</v>
      </c>
    </row>
    <row r="451" spans="1:16" x14ac:dyDescent="0.2">
      <c r="A451" t="s">
        <v>920</v>
      </c>
      <c r="B451" t="s">
        <v>610</v>
      </c>
      <c r="C451" t="s">
        <v>136</v>
      </c>
      <c r="D451">
        <v>28</v>
      </c>
      <c r="E451">
        <v>468</v>
      </c>
      <c r="F451">
        <v>4938272</v>
      </c>
      <c r="G451" t="s">
        <v>921</v>
      </c>
      <c r="H451">
        <f t="shared" si="28"/>
        <v>0</v>
      </c>
      <c r="I451">
        <v>49</v>
      </c>
      <c r="J451">
        <v>2.4545454545454546</v>
      </c>
      <c r="K451">
        <f t="shared" si="29"/>
        <v>1</v>
      </c>
      <c r="L451">
        <f t="shared" si="30"/>
        <v>0</v>
      </c>
      <c r="M451">
        <v>23</v>
      </c>
      <c r="N451">
        <v>332</v>
      </c>
      <c r="O451">
        <f t="shared" si="31"/>
        <v>1</v>
      </c>
      <c r="P451">
        <v>0.56499999999999995</v>
      </c>
    </row>
    <row r="452" spans="1:16" x14ac:dyDescent="0.2">
      <c r="A452" t="s">
        <v>922</v>
      </c>
      <c r="B452" t="s">
        <v>610</v>
      </c>
      <c r="C452" t="s">
        <v>136</v>
      </c>
      <c r="D452">
        <v>26</v>
      </c>
      <c r="E452">
        <v>5</v>
      </c>
      <c r="F452">
        <v>4767000</v>
      </c>
      <c r="G452" t="s">
        <v>923</v>
      </c>
      <c r="H452">
        <f t="shared" si="28"/>
        <v>0</v>
      </c>
      <c r="I452">
        <v>2</v>
      </c>
      <c r="J452">
        <v>0.66666666666666663</v>
      </c>
      <c r="K452">
        <f t="shared" si="29"/>
        <v>1</v>
      </c>
      <c r="L452">
        <f t="shared" si="30"/>
        <v>0</v>
      </c>
      <c r="M452">
        <v>2</v>
      </c>
      <c r="N452">
        <v>6</v>
      </c>
      <c r="O452">
        <f t="shared" si="31"/>
        <v>1</v>
      </c>
      <c r="P452">
        <v>8.3000000000000004E-2</v>
      </c>
    </row>
    <row r="453" spans="1:16" x14ac:dyDescent="0.2">
      <c r="A453" t="s">
        <v>924</v>
      </c>
      <c r="B453" t="s">
        <v>610</v>
      </c>
      <c r="C453" t="s">
        <v>136</v>
      </c>
      <c r="D453">
        <v>34</v>
      </c>
      <c r="E453">
        <v>423</v>
      </c>
      <c r="F453">
        <v>4767000</v>
      </c>
      <c r="G453" t="s">
        <v>925</v>
      </c>
      <c r="H453">
        <f t="shared" si="28"/>
        <v>0</v>
      </c>
      <c r="I453">
        <v>43</v>
      </c>
      <c r="J453">
        <v>2.1379310344827585</v>
      </c>
      <c r="K453">
        <f t="shared" si="29"/>
        <v>1</v>
      </c>
      <c r="L453">
        <f t="shared" si="30"/>
        <v>0</v>
      </c>
      <c r="M453">
        <v>30</v>
      </c>
      <c r="N453">
        <v>160</v>
      </c>
      <c r="O453">
        <f t="shared" si="31"/>
        <v>1</v>
      </c>
      <c r="P453">
        <v>0.503</v>
      </c>
    </row>
    <row r="454" spans="1:16" x14ac:dyDescent="0.2">
      <c r="A454" t="s">
        <v>926</v>
      </c>
      <c r="B454" t="s">
        <v>610</v>
      </c>
      <c r="C454" t="s">
        <v>136</v>
      </c>
      <c r="D454">
        <v>26</v>
      </c>
      <c r="E454">
        <v>639</v>
      </c>
      <c r="F454">
        <v>4767000</v>
      </c>
      <c r="G454" t="s">
        <v>927</v>
      </c>
      <c r="H454">
        <f t="shared" si="28"/>
        <v>0</v>
      </c>
      <c r="I454">
        <v>47</v>
      </c>
      <c r="J454">
        <v>1.970873786407767</v>
      </c>
      <c r="K454">
        <f t="shared" si="29"/>
        <v>1</v>
      </c>
      <c r="L454">
        <f t="shared" si="30"/>
        <v>0</v>
      </c>
      <c r="M454">
        <v>9</v>
      </c>
      <c r="N454">
        <v>216</v>
      </c>
      <c r="O454">
        <f t="shared" si="31"/>
        <v>1</v>
      </c>
      <c r="P454">
        <v>0.45500000000000002</v>
      </c>
    </row>
    <row r="455" spans="1:16" x14ac:dyDescent="0.2">
      <c r="A455" t="s">
        <v>928</v>
      </c>
      <c r="B455" t="s">
        <v>610</v>
      </c>
      <c r="C455" t="s">
        <v>136</v>
      </c>
      <c r="D455">
        <v>23</v>
      </c>
      <c r="E455">
        <v>828</v>
      </c>
      <c r="F455">
        <v>4767000</v>
      </c>
      <c r="G455" t="s">
        <v>929</v>
      </c>
      <c r="H455">
        <f t="shared" si="28"/>
        <v>0</v>
      </c>
      <c r="I455">
        <v>53</v>
      </c>
      <c r="J455">
        <v>1.0070422535211268</v>
      </c>
      <c r="K455">
        <f t="shared" si="29"/>
        <v>1</v>
      </c>
      <c r="L455">
        <f t="shared" si="30"/>
        <v>0</v>
      </c>
      <c r="M455">
        <v>47</v>
      </c>
      <c r="N455">
        <v>254</v>
      </c>
      <c r="O455">
        <f t="shared" si="31"/>
        <v>1</v>
      </c>
      <c r="P455">
        <v>0.47299999999999998</v>
      </c>
    </row>
    <row r="456" spans="1:16" x14ac:dyDescent="0.2">
      <c r="A456" t="s">
        <v>930</v>
      </c>
      <c r="B456" t="s">
        <v>610</v>
      </c>
      <c r="C456" t="s">
        <v>136</v>
      </c>
      <c r="D456">
        <v>27</v>
      </c>
      <c r="E456">
        <v>406</v>
      </c>
      <c r="F456">
        <v>4642800</v>
      </c>
      <c r="G456" t="s">
        <v>931</v>
      </c>
      <c r="H456">
        <f t="shared" si="28"/>
        <v>0</v>
      </c>
      <c r="I456">
        <v>30</v>
      </c>
      <c r="J456">
        <v>2.5</v>
      </c>
      <c r="K456">
        <f t="shared" si="29"/>
        <v>1</v>
      </c>
      <c r="L456">
        <f t="shared" si="30"/>
        <v>0</v>
      </c>
      <c r="M456">
        <v>7</v>
      </c>
      <c r="N456">
        <v>197</v>
      </c>
      <c r="O456">
        <f t="shared" si="31"/>
        <v>1</v>
      </c>
      <c r="P456">
        <v>0.46899999999999997</v>
      </c>
    </row>
    <row r="457" spans="1:16" x14ac:dyDescent="0.2">
      <c r="A457" t="s">
        <v>932</v>
      </c>
      <c r="B457" t="s">
        <v>610</v>
      </c>
      <c r="C457" t="s">
        <v>136</v>
      </c>
      <c r="D457">
        <v>22</v>
      </c>
      <c r="E457">
        <v>2</v>
      </c>
      <c r="F457">
        <v>3944013</v>
      </c>
      <c r="G457" t="s">
        <v>933</v>
      </c>
      <c r="H457">
        <f t="shared" si="28"/>
        <v>0</v>
      </c>
      <c r="I457">
        <v>1</v>
      </c>
      <c r="J457">
        <v>0.5</v>
      </c>
      <c r="K457">
        <f t="shared" si="29"/>
        <v>1</v>
      </c>
      <c r="L457">
        <f t="shared" si="30"/>
        <v>0</v>
      </c>
      <c r="M457">
        <v>0</v>
      </c>
      <c r="N457">
        <v>1</v>
      </c>
      <c r="O457">
        <f t="shared" si="31"/>
        <v>1</v>
      </c>
      <c r="P457">
        <v>0.14299999999999999</v>
      </c>
    </row>
    <row r="458" spans="1:16" x14ac:dyDescent="0.2">
      <c r="A458" t="s">
        <v>934</v>
      </c>
      <c r="B458" t="s">
        <v>610</v>
      </c>
      <c r="C458" t="s">
        <v>136</v>
      </c>
      <c r="D458">
        <v>23</v>
      </c>
      <c r="E458">
        <v>83</v>
      </c>
      <c r="F458">
        <v>3737520</v>
      </c>
      <c r="G458" t="s">
        <v>935</v>
      </c>
      <c r="H458">
        <f t="shared" si="28"/>
        <v>0</v>
      </c>
      <c r="I458">
        <v>12</v>
      </c>
      <c r="J458">
        <v>1.3157894736842106</v>
      </c>
      <c r="K458">
        <f t="shared" si="29"/>
        <v>1</v>
      </c>
      <c r="L458">
        <f t="shared" si="30"/>
        <v>0</v>
      </c>
      <c r="M458">
        <v>6</v>
      </c>
      <c r="N458">
        <v>38</v>
      </c>
      <c r="O458">
        <f t="shared" si="31"/>
        <v>1</v>
      </c>
      <c r="P458">
        <v>0.35299999999999998</v>
      </c>
    </row>
    <row r="459" spans="1:16" x14ac:dyDescent="0.2">
      <c r="A459" t="s">
        <v>936</v>
      </c>
      <c r="B459" t="s">
        <v>610</v>
      </c>
      <c r="C459" t="s">
        <v>136</v>
      </c>
      <c r="D459">
        <v>21</v>
      </c>
      <c r="E459">
        <v>56</v>
      </c>
      <c r="F459">
        <v>3631200</v>
      </c>
      <c r="G459" t="s">
        <v>937</v>
      </c>
      <c r="H459">
        <f t="shared" si="28"/>
        <v>0</v>
      </c>
      <c r="I459">
        <v>6</v>
      </c>
      <c r="J459">
        <v>1.3</v>
      </c>
      <c r="K459">
        <f t="shared" si="29"/>
        <v>1</v>
      </c>
      <c r="L459">
        <f t="shared" si="30"/>
        <v>0</v>
      </c>
      <c r="M459">
        <v>5</v>
      </c>
      <c r="N459">
        <v>35</v>
      </c>
      <c r="O459">
        <f t="shared" si="31"/>
        <v>1</v>
      </c>
      <c r="P459">
        <v>0.39800000000000002</v>
      </c>
    </row>
    <row r="460" spans="1:16" x14ac:dyDescent="0.2">
      <c r="A460" t="s">
        <v>938</v>
      </c>
      <c r="B460" t="s">
        <v>610</v>
      </c>
      <c r="C460" t="s">
        <v>136</v>
      </c>
      <c r="D460">
        <v>28</v>
      </c>
      <c r="E460">
        <v>596</v>
      </c>
      <c r="F460">
        <v>3500000</v>
      </c>
      <c r="G460" t="s">
        <v>939</v>
      </c>
      <c r="H460">
        <f t="shared" si="28"/>
        <v>0</v>
      </c>
      <c r="I460">
        <v>128</v>
      </c>
      <c r="J460">
        <v>3.3777777777777778</v>
      </c>
      <c r="K460">
        <f t="shared" si="29"/>
        <v>1</v>
      </c>
      <c r="L460">
        <f t="shared" si="30"/>
        <v>0</v>
      </c>
      <c r="M460">
        <v>23</v>
      </c>
      <c r="N460">
        <v>256</v>
      </c>
      <c r="O460">
        <f t="shared" si="31"/>
        <v>1</v>
      </c>
      <c r="P460">
        <v>0.57399999999999995</v>
      </c>
    </row>
    <row r="461" spans="1:16" x14ac:dyDescent="0.2">
      <c r="A461" t="s">
        <v>940</v>
      </c>
      <c r="B461" t="s">
        <v>610</v>
      </c>
      <c r="C461" t="s">
        <v>136</v>
      </c>
      <c r="D461">
        <v>29</v>
      </c>
      <c r="E461">
        <v>274</v>
      </c>
      <c r="F461">
        <v>3300000</v>
      </c>
      <c r="G461" t="s">
        <v>941</v>
      </c>
      <c r="H461">
        <f t="shared" si="28"/>
        <v>0</v>
      </c>
      <c r="I461">
        <v>25</v>
      </c>
      <c r="J461">
        <v>1.8695652173913044</v>
      </c>
      <c r="K461">
        <f t="shared" si="29"/>
        <v>1</v>
      </c>
      <c r="L461">
        <f t="shared" si="30"/>
        <v>0</v>
      </c>
      <c r="M461">
        <v>17</v>
      </c>
      <c r="N461">
        <v>139</v>
      </c>
      <c r="O461">
        <f t="shared" si="31"/>
        <v>1</v>
      </c>
      <c r="P461">
        <v>0.41699999999999998</v>
      </c>
    </row>
    <row r="462" spans="1:16" x14ac:dyDescent="0.2">
      <c r="A462" t="s">
        <v>942</v>
      </c>
      <c r="B462" t="s">
        <v>610</v>
      </c>
      <c r="C462" t="s">
        <v>136</v>
      </c>
      <c r="D462">
        <v>20</v>
      </c>
      <c r="E462">
        <v>605</v>
      </c>
      <c r="F462">
        <v>3285120</v>
      </c>
      <c r="G462" t="s">
        <v>943</v>
      </c>
      <c r="H462">
        <f t="shared" si="28"/>
        <v>0</v>
      </c>
      <c r="I462">
        <v>30</v>
      </c>
      <c r="J462">
        <v>1.8113207547169812</v>
      </c>
      <c r="K462">
        <f t="shared" si="29"/>
        <v>1</v>
      </c>
      <c r="L462">
        <f t="shared" si="30"/>
        <v>0</v>
      </c>
      <c r="M462">
        <v>18</v>
      </c>
      <c r="N462">
        <v>221</v>
      </c>
      <c r="O462">
        <f t="shared" si="31"/>
        <v>1</v>
      </c>
      <c r="P462">
        <v>0.44900000000000001</v>
      </c>
    </row>
    <row r="463" spans="1:16" x14ac:dyDescent="0.2">
      <c r="A463" t="s">
        <v>944</v>
      </c>
      <c r="B463" t="s">
        <v>610</v>
      </c>
      <c r="C463" t="s">
        <v>136</v>
      </c>
      <c r="D463">
        <v>24</v>
      </c>
      <c r="E463">
        <v>688</v>
      </c>
      <c r="F463">
        <v>3044160</v>
      </c>
      <c r="G463" t="s">
        <v>945</v>
      </c>
      <c r="H463">
        <f t="shared" si="28"/>
        <v>0</v>
      </c>
      <c r="I463">
        <v>72</v>
      </c>
      <c r="J463">
        <v>2.2307692307692308</v>
      </c>
      <c r="K463">
        <f t="shared" si="29"/>
        <v>1</v>
      </c>
      <c r="L463">
        <f t="shared" si="30"/>
        <v>0</v>
      </c>
      <c r="M463">
        <v>15</v>
      </c>
      <c r="N463">
        <v>380</v>
      </c>
      <c r="O463">
        <f t="shared" si="31"/>
        <v>1</v>
      </c>
      <c r="P463">
        <v>0.52800000000000002</v>
      </c>
    </row>
    <row r="464" spans="1:16" x14ac:dyDescent="0.2">
      <c r="A464" t="s">
        <v>946</v>
      </c>
      <c r="B464" t="s">
        <v>610</v>
      </c>
      <c r="C464" t="s">
        <v>136</v>
      </c>
      <c r="D464">
        <v>26</v>
      </c>
      <c r="E464">
        <v>136</v>
      </c>
      <c r="F464">
        <v>3000000</v>
      </c>
      <c r="G464" t="s">
        <v>947</v>
      </c>
      <c r="H464">
        <f t="shared" si="28"/>
        <v>0</v>
      </c>
      <c r="I464">
        <v>9</v>
      </c>
      <c r="J464">
        <v>5.6</v>
      </c>
      <c r="K464">
        <f t="shared" si="29"/>
        <v>1</v>
      </c>
      <c r="L464">
        <f t="shared" si="30"/>
        <v>0</v>
      </c>
      <c r="M464">
        <v>0</v>
      </c>
      <c r="N464">
        <v>67</v>
      </c>
      <c r="O464">
        <f t="shared" si="31"/>
        <v>1</v>
      </c>
      <c r="P464">
        <v>0.52600000000000002</v>
      </c>
    </row>
    <row r="465" spans="1:16" x14ac:dyDescent="0.2">
      <c r="A465" t="s">
        <v>948</v>
      </c>
      <c r="B465" t="s">
        <v>610</v>
      </c>
      <c r="C465" t="s">
        <v>136</v>
      </c>
      <c r="D465">
        <v>22</v>
      </c>
      <c r="E465">
        <v>822</v>
      </c>
      <c r="F465">
        <v>2761920</v>
      </c>
      <c r="G465" t="s">
        <v>949</v>
      </c>
      <c r="H465">
        <f t="shared" si="28"/>
        <v>0</v>
      </c>
      <c r="I465">
        <v>82</v>
      </c>
      <c r="J465">
        <v>3.0506329113924049</v>
      </c>
      <c r="K465">
        <f t="shared" si="29"/>
        <v>1</v>
      </c>
      <c r="L465">
        <f t="shared" si="30"/>
        <v>0</v>
      </c>
      <c r="M465">
        <v>18</v>
      </c>
      <c r="N465">
        <v>231</v>
      </c>
      <c r="O465">
        <f t="shared" si="31"/>
        <v>1</v>
      </c>
      <c r="P465">
        <v>0.52800000000000002</v>
      </c>
    </row>
    <row r="466" spans="1:16" x14ac:dyDescent="0.2">
      <c r="A466" t="s">
        <v>950</v>
      </c>
      <c r="B466" t="s">
        <v>610</v>
      </c>
      <c r="C466" t="s">
        <v>136</v>
      </c>
      <c r="D466">
        <v>23</v>
      </c>
      <c r="E466">
        <v>255</v>
      </c>
      <c r="F466">
        <v>2711280</v>
      </c>
      <c r="G466" t="s">
        <v>951</v>
      </c>
      <c r="H466">
        <f t="shared" si="28"/>
        <v>0</v>
      </c>
      <c r="I466">
        <v>105</v>
      </c>
      <c r="J466">
        <v>1.96875</v>
      </c>
      <c r="K466">
        <f t="shared" si="29"/>
        <v>1</v>
      </c>
      <c r="L466">
        <f t="shared" si="30"/>
        <v>0</v>
      </c>
      <c r="M466">
        <v>71</v>
      </c>
      <c r="N466">
        <v>124</v>
      </c>
      <c r="O466">
        <f t="shared" si="31"/>
        <v>1</v>
      </c>
      <c r="P466">
        <v>0.50800000000000001</v>
      </c>
    </row>
    <row r="467" spans="1:16" x14ac:dyDescent="0.2">
      <c r="A467" t="s">
        <v>952</v>
      </c>
      <c r="B467" t="s">
        <v>610</v>
      </c>
      <c r="C467" t="s">
        <v>136</v>
      </c>
      <c r="D467">
        <v>21</v>
      </c>
      <c r="E467">
        <v>815</v>
      </c>
      <c r="F467">
        <v>2582160</v>
      </c>
      <c r="G467" t="s">
        <v>953</v>
      </c>
      <c r="H467">
        <f t="shared" si="28"/>
        <v>0</v>
      </c>
      <c r="I467">
        <v>35</v>
      </c>
      <c r="J467">
        <v>1.8217821782178218</v>
      </c>
      <c r="K467">
        <f t="shared" si="29"/>
        <v>1</v>
      </c>
      <c r="L467">
        <f t="shared" si="30"/>
        <v>0</v>
      </c>
      <c r="M467">
        <v>17</v>
      </c>
      <c r="N467">
        <v>268</v>
      </c>
      <c r="O467">
        <f t="shared" si="31"/>
        <v>1</v>
      </c>
      <c r="P467">
        <v>0.51600000000000001</v>
      </c>
    </row>
    <row r="468" spans="1:16" x14ac:dyDescent="0.2">
      <c r="A468" t="s">
        <v>954</v>
      </c>
      <c r="B468" t="s">
        <v>610</v>
      </c>
      <c r="C468" t="s">
        <v>136</v>
      </c>
      <c r="D468">
        <v>20</v>
      </c>
      <c r="E468">
        <v>488</v>
      </c>
      <c r="F468">
        <v>2478840</v>
      </c>
      <c r="G468" t="s">
        <v>955</v>
      </c>
      <c r="H468">
        <f t="shared" si="28"/>
        <v>0</v>
      </c>
      <c r="I468">
        <v>26</v>
      </c>
      <c r="J468">
        <v>2.9268292682926829</v>
      </c>
      <c r="K468">
        <f t="shared" si="29"/>
        <v>1</v>
      </c>
      <c r="L468">
        <f t="shared" si="30"/>
        <v>0</v>
      </c>
      <c r="M468">
        <v>13</v>
      </c>
      <c r="N468">
        <v>104</v>
      </c>
      <c r="O468">
        <f t="shared" si="31"/>
        <v>1</v>
      </c>
      <c r="P468">
        <v>0.498</v>
      </c>
    </row>
    <row r="469" spans="1:16" x14ac:dyDescent="0.2">
      <c r="A469" t="s">
        <v>956</v>
      </c>
      <c r="B469" t="s">
        <v>610</v>
      </c>
      <c r="C469" t="s">
        <v>136</v>
      </c>
      <c r="D469">
        <v>24</v>
      </c>
      <c r="E469">
        <v>475</v>
      </c>
      <c r="F469">
        <v>2345640</v>
      </c>
      <c r="G469" t="s">
        <v>957</v>
      </c>
      <c r="H469">
        <f t="shared" si="28"/>
        <v>0</v>
      </c>
      <c r="I469">
        <v>46</v>
      </c>
      <c r="J469">
        <v>1.8636363636363635</v>
      </c>
      <c r="K469">
        <f t="shared" si="29"/>
        <v>1</v>
      </c>
      <c r="L469">
        <f t="shared" si="30"/>
        <v>0</v>
      </c>
      <c r="M469">
        <v>13</v>
      </c>
      <c r="N469">
        <v>89</v>
      </c>
      <c r="O469">
        <f t="shared" si="31"/>
        <v>1</v>
      </c>
      <c r="P469">
        <v>0.46700000000000003</v>
      </c>
    </row>
    <row r="470" spans="1:16" x14ac:dyDescent="0.2">
      <c r="A470" t="s">
        <v>958</v>
      </c>
      <c r="B470" t="s">
        <v>610</v>
      </c>
      <c r="C470" t="s">
        <v>136</v>
      </c>
      <c r="D470">
        <v>27</v>
      </c>
      <c r="E470">
        <v>701</v>
      </c>
      <c r="F470">
        <v>2337145</v>
      </c>
      <c r="G470" t="s">
        <v>959</v>
      </c>
      <c r="H470">
        <f t="shared" si="28"/>
        <v>0</v>
      </c>
      <c r="I470">
        <v>24</v>
      </c>
      <c r="J470">
        <v>1.0227272727272727</v>
      </c>
      <c r="K470">
        <f t="shared" si="29"/>
        <v>1</v>
      </c>
      <c r="L470">
        <f t="shared" si="30"/>
        <v>0</v>
      </c>
      <c r="M470">
        <v>1</v>
      </c>
      <c r="N470">
        <v>112</v>
      </c>
      <c r="O470">
        <f t="shared" si="31"/>
        <v>1</v>
      </c>
      <c r="P470">
        <v>0.61799999999999999</v>
      </c>
    </row>
    <row r="471" spans="1:16" x14ac:dyDescent="0.2">
      <c r="A471" t="s">
        <v>960</v>
      </c>
      <c r="B471" t="s">
        <v>610</v>
      </c>
      <c r="C471" t="s">
        <v>136</v>
      </c>
      <c r="D471">
        <v>23</v>
      </c>
      <c r="E471">
        <v>510</v>
      </c>
      <c r="F471">
        <v>2193480</v>
      </c>
      <c r="G471" t="s">
        <v>961</v>
      </c>
      <c r="H471">
        <f t="shared" si="28"/>
        <v>0</v>
      </c>
      <c r="I471">
        <v>37</v>
      </c>
      <c r="J471">
        <v>2.2641509433962264</v>
      </c>
      <c r="K471">
        <f t="shared" si="29"/>
        <v>1</v>
      </c>
      <c r="L471">
        <f t="shared" si="30"/>
        <v>0</v>
      </c>
      <c r="M471">
        <v>9</v>
      </c>
      <c r="N471">
        <v>158</v>
      </c>
      <c r="O471">
        <f t="shared" si="31"/>
        <v>1</v>
      </c>
      <c r="P471">
        <v>0.56200000000000006</v>
      </c>
    </row>
    <row r="472" spans="1:16" x14ac:dyDescent="0.2">
      <c r="A472" t="s">
        <v>962</v>
      </c>
      <c r="B472" t="s">
        <v>610</v>
      </c>
      <c r="C472" t="s">
        <v>136</v>
      </c>
      <c r="D472">
        <v>25</v>
      </c>
      <c r="E472">
        <v>399</v>
      </c>
      <c r="F472">
        <v>2160000</v>
      </c>
      <c r="G472" t="s">
        <v>963</v>
      </c>
      <c r="H472">
        <f t="shared" si="28"/>
        <v>0</v>
      </c>
      <c r="I472">
        <v>33</v>
      </c>
      <c r="J472">
        <v>0.96078431372549022</v>
      </c>
      <c r="K472">
        <f t="shared" si="29"/>
        <v>1</v>
      </c>
      <c r="L472">
        <f t="shared" si="30"/>
        <v>0</v>
      </c>
      <c r="M472">
        <v>10</v>
      </c>
      <c r="N472">
        <v>94</v>
      </c>
      <c r="O472">
        <f t="shared" si="31"/>
        <v>1</v>
      </c>
      <c r="P472">
        <v>0.58699999999999997</v>
      </c>
    </row>
    <row r="473" spans="1:16" x14ac:dyDescent="0.2">
      <c r="A473" t="s">
        <v>964</v>
      </c>
      <c r="B473" t="s">
        <v>610</v>
      </c>
      <c r="C473" t="s">
        <v>136</v>
      </c>
      <c r="D473">
        <v>21</v>
      </c>
      <c r="E473">
        <v>731</v>
      </c>
      <c r="F473">
        <v>2105520</v>
      </c>
      <c r="G473" t="s">
        <v>965</v>
      </c>
      <c r="H473">
        <f t="shared" si="28"/>
        <v>0</v>
      </c>
      <c r="I473">
        <v>30</v>
      </c>
      <c r="J473">
        <v>2.1896551724137931</v>
      </c>
      <c r="K473">
        <f t="shared" si="29"/>
        <v>1</v>
      </c>
      <c r="L473">
        <f t="shared" si="30"/>
        <v>0</v>
      </c>
      <c r="M473">
        <v>12</v>
      </c>
      <c r="N473">
        <v>137</v>
      </c>
      <c r="O473">
        <f t="shared" si="31"/>
        <v>1</v>
      </c>
      <c r="P473">
        <v>0.497</v>
      </c>
    </row>
    <row r="474" spans="1:16" x14ac:dyDescent="0.2">
      <c r="A474" t="s">
        <v>966</v>
      </c>
      <c r="B474" t="s">
        <v>610</v>
      </c>
      <c r="C474" t="s">
        <v>136</v>
      </c>
      <c r="D474">
        <v>23</v>
      </c>
      <c r="E474">
        <v>567</v>
      </c>
      <c r="F474">
        <v>2090040</v>
      </c>
      <c r="G474" t="s">
        <v>967</v>
      </c>
      <c r="H474">
        <f t="shared" si="28"/>
        <v>0</v>
      </c>
      <c r="I474">
        <v>31</v>
      </c>
      <c r="J474">
        <v>2.0625</v>
      </c>
      <c r="K474">
        <f t="shared" si="29"/>
        <v>1</v>
      </c>
      <c r="L474">
        <f t="shared" si="30"/>
        <v>0</v>
      </c>
      <c r="M474">
        <v>10</v>
      </c>
      <c r="N474">
        <v>112</v>
      </c>
      <c r="O474">
        <f t="shared" si="31"/>
        <v>1</v>
      </c>
      <c r="P474">
        <v>0.54900000000000004</v>
      </c>
    </row>
    <row r="475" spans="1:16" x14ac:dyDescent="0.2">
      <c r="A475" t="s">
        <v>968</v>
      </c>
      <c r="B475" t="s">
        <v>610</v>
      </c>
      <c r="C475" t="s">
        <v>136</v>
      </c>
      <c r="D475">
        <v>26</v>
      </c>
      <c r="E475">
        <v>308</v>
      </c>
      <c r="F475">
        <v>2000000</v>
      </c>
      <c r="G475" t="s">
        <v>969</v>
      </c>
      <c r="H475">
        <f t="shared" si="28"/>
        <v>0</v>
      </c>
      <c r="I475">
        <v>16</v>
      </c>
      <c r="J475">
        <v>2.1666666666666665</v>
      </c>
      <c r="K475">
        <f t="shared" si="29"/>
        <v>1</v>
      </c>
      <c r="L475">
        <f t="shared" si="30"/>
        <v>0</v>
      </c>
      <c r="M475">
        <v>4</v>
      </c>
      <c r="N475">
        <v>93</v>
      </c>
      <c r="O475">
        <f t="shared" si="31"/>
        <v>1</v>
      </c>
      <c r="P475">
        <v>0.48499999999999999</v>
      </c>
    </row>
    <row r="476" spans="1:16" x14ac:dyDescent="0.2">
      <c r="A476" t="s">
        <v>970</v>
      </c>
      <c r="B476" t="s">
        <v>610</v>
      </c>
      <c r="C476" t="s">
        <v>136</v>
      </c>
      <c r="D476">
        <v>22</v>
      </c>
      <c r="E476">
        <v>353</v>
      </c>
      <c r="F476">
        <v>1950600</v>
      </c>
      <c r="G476" t="s">
        <v>971</v>
      </c>
      <c r="H476">
        <f t="shared" si="28"/>
        <v>0</v>
      </c>
      <c r="I476">
        <v>38</v>
      </c>
      <c r="J476">
        <v>3.1860465116279069</v>
      </c>
      <c r="K476">
        <f t="shared" si="29"/>
        <v>1</v>
      </c>
      <c r="L476">
        <f t="shared" si="30"/>
        <v>0</v>
      </c>
      <c r="M476">
        <v>7</v>
      </c>
      <c r="N476">
        <v>116</v>
      </c>
      <c r="O476">
        <f t="shared" si="31"/>
        <v>1</v>
      </c>
      <c r="P476">
        <v>0.45300000000000001</v>
      </c>
    </row>
    <row r="477" spans="1:16" x14ac:dyDescent="0.2">
      <c r="A477" t="s">
        <v>972</v>
      </c>
      <c r="B477" t="s">
        <v>610</v>
      </c>
      <c r="C477" t="s">
        <v>136</v>
      </c>
      <c r="D477">
        <v>23</v>
      </c>
      <c r="E477">
        <v>501</v>
      </c>
      <c r="F477">
        <v>1762796</v>
      </c>
      <c r="G477" t="s">
        <v>973</v>
      </c>
      <c r="H477">
        <f t="shared" si="28"/>
        <v>0</v>
      </c>
      <c r="I477">
        <v>49</v>
      </c>
      <c r="J477">
        <v>1.7826086956521738</v>
      </c>
      <c r="K477">
        <f t="shared" si="29"/>
        <v>1</v>
      </c>
      <c r="L477">
        <f t="shared" si="30"/>
        <v>0</v>
      </c>
      <c r="M477">
        <v>9</v>
      </c>
      <c r="N477">
        <v>113</v>
      </c>
      <c r="O477">
        <f t="shared" si="31"/>
        <v>1</v>
      </c>
      <c r="P477">
        <v>0.52</v>
      </c>
    </row>
    <row r="478" spans="1:16" x14ac:dyDescent="0.2">
      <c r="A478" t="s">
        <v>974</v>
      </c>
      <c r="B478" t="s">
        <v>610</v>
      </c>
      <c r="C478" t="s">
        <v>136</v>
      </c>
      <c r="D478">
        <v>25</v>
      </c>
      <c r="E478">
        <v>228</v>
      </c>
      <c r="F478">
        <v>1701593</v>
      </c>
      <c r="G478" t="s">
        <v>975</v>
      </c>
      <c r="H478">
        <f t="shared" si="28"/>
        <v>0</v>
      </c>
      <c r="I478">
        <v>17</v>
      </c>
      <c r="J478">
        <v>2.6388888888888888</v>
      </c>
      <c r="K478">
        <f t="shared" si="29"/>
        <v>1</v>
      </c>
      <c r="L478">
        <f t="shared" si="30"/>
        <v>0</v>
      </c>
      <c r="M478">
        <v>0</v>
      </c>
      <c r="N478">
        <v>69</v>
      </c>
      <c r="O478">
        <f t="shared" si="31"/>
        <v>1</v>
      </c>
      <c r="P478">
        <v>0.44800000000000001</v>
      </c>
    </row>
    <row r="479" spans="1:16" x14ac:dyDescent="0.2">
      <c r="A479" t="s">
        <v>976</v>
      </c>
      <c r="B479" t="s">
        <v>610</v>
      </c>
      <c r="C479" t="s">
        <v>136</v>
      </c>
      <c r="D479">
        <v>24</v>
      </c>
      <c r="E479">
        <v>817</v>
      </c>
      <c r="F479">
        <v>1701593</v>
      </c>
      <c r="G479" t="s">
        <v>977</v>
      </c>
      <c r="H479">
        <f t="shared" si="28"/>
        <v>0</v>
      </c>
      <c r="I479">
        <v>39</v>
      </c>
      <c r="J479">
        <v>1.8737864077669903</v>
      </c>
      <c r="K479">
        <f t="shared" si="29"/>
        <v>1</v>
      </c>
      <c r="L479">
        <f t="shared" si="30"/>
        <v>0</v>
      </c>
      <c r="M479">
        <v>18</v>
      </c>
      <c r="N479">
        <v>148</v>
      </c>
      <c r="O479">
        <f t="shared" si="31"/>
        <v>1</v>
      </c>
      <c r="P479">
        <v>0.503</v>
      </c>
    </row>
    <row r="480" spans="1:16" x14ac:dyDescent="0.2">
      <c r="A480" t="s">
        <v>978</v>
      </c>
      <c r="B480" t="s">
        <v>610</v>
      </c>
      <c r="C480" t="s">
        <v>136</v>
      </c>
      <c r="D480">
        <v>24</v>
      </c>
      <c r="E480">
        <v>573</v>
      </c>
      <c r="F480">
        <v>1663861</v>
      </c>
      <c r="G480" t="s">
        <v>979</v>
      </c>
      <c r="H480">
        <f t="shared" si="28"/>
        <v>0</v>
      </c>
      <c r="I480">
        <v>58</v>
      </c>
      <c r="J480">
        <v>1.9259259259259258</v>
      </c>
      <c r="K480">
        <f t="shared" si="29"/>
        <v>1</v>
      </c>
      <c r="L480">
        <f t="shared" si="30"/>
        <v>0</v>
      </c>
      <c r="M480">
        <v>28</v>
      </c>
      <c r="N480">
        <v>349</v>
      </c>
      <c r="O480">
        <f t="shared" si="31"/>
        <v>1</v>
      </c>
      <c r="P480">
        <v>0.57599999999999996</v>
      </c>
    </row>
    <row r="481" spans="1:16" x14ac:dyDescent="0.2">
      <c r="A481" t="s">
        <v>980</v>
      </c>
      <c r="B481" t="s">
        <v>610</v>
      </c>
      <c r="C481" t="s">
        <v>136</v>
      </c>
      <c r="D481">
        <v>25</v>
      </c>
      <c r="E481">
        <v>816</v>
      </c>
      <c r="F481">
        <v>1663861</v>
      </c>
      <c r="G481" t="s">
        <v>981</v>
      </c>
      <c r="H481">
        <f t="shared" si="28"/>
        <v>0</v>
      </c>
      <c r="I481">
        <v>52</v>
      </c>
      <c r="J481">
        <v>1.85</v>
      </c>
      <c r="K481">
        <f t="shared" si="29"/>
        <v>1</v>
      </c>
      <c r="L481">
        <f t="shared" si="30"/>
        <v>0</v>
      </c>
      <c r="M481">
        <v>14</v>
      </c>
      <c r="N481">
        <v>179</v>
      </c>
      <c r="O481">
        <f t="shared" si="31"/>
        <v>1</v>
      </c>
      <c r="P481">
        <v>0.57799999999999996</v>
      </c>
    </row>
    <row r="482" spans="1:16" x14ac:dyDescent="0.2">
      <c r="A482" t="s">
        <v>982</v>
      </c>
      <c r="B482" t="s">
        <v>610</v>
      </c>
      <c r="C482" t="s">
        <v>136</v>
      </c>
      <c r="D482">
        <v>30</v>
      </c>
      <c r="E482">
        <v>36</v>
      </c>
      <c r="F482">
        <v>1620564</v>
      </c>
      <c r="G482" t="s">
        <v>983</v>
      </c>
      <c r="H482">
        <f t="shared" si="28"/>
        <v>0</v>
      </c>
      <c r="I482">
        <v>4</v>
      </c>
      <c r="J482">
        <v>9.6666666666666661</v>
      </c>
      <c r="K482">
        <f t="shared" si="29"/>
        <v>1</v>
      </c>
      <c r="L482">
        <f t="shared" si="30"/>
        <v>0</v>
      </c>
      <c r="M482">
        <v>1</v>
      </c>
      <c r="N482">
        <v>24</v>
      </c>
      <c r="O482">
        <f t="shared" si="31"/>
        <v>1</v>
      </c>
      <c r="P482">
        <v>0.28599999999999998</v>
      </c>
    </row>
    <row r="483" spans="1:16" x14ac:dyDescent="0.2">
      <c r="A483" t="s">
        <v>984</v>
      </c>
      <c r="B483" t="s">
        <v>610</v>
      </c>
      <c r="C483" t="s">
        <v>136</v>
      </c>
      <c r="D483">
        <v>28</v>
      </c>
      <c r="E483">
        <v>210</v>
      </c>
      <c r="F483">
        <v>1620564</v>
      </c>
      <c r="G483" t="s">
        <v>985</v>
      </c>
      <c r="H483">
        <f t="shared" si="28"/>
        <v>0</v>
      </c>
      <c r="I483">
        <v>14</v>
      </c>
      <c r="J483">
        <v>2.7647058823529411</v>
      </c>
      <c r="K483">
        <f t="shared" si="29"/>
        <v>1</v>
      </c>
      <c r="L483">
        <f t="shared" si="30"/>
        <v>0</v>
      </c>
      <c r="M483">
        <v>0</v>
      </c>
      <c r="N483">
        <v>77</v>
      </c>
      <c r="O483">
        <f t="shared" si="31"/>
        <v>1</v>
      </c>
      <c r="P483">
        <v>0.52500000000000002</v>
      </c>
    </row>
    <row r="484" spans="1:16" x14ac:dyDescent="0.2">
      <c r="A484" t="s">
        <v>986</v>
      </c>
      <c r="B484" t="s">
        <v>610</v>
      </c>
      <c r="C484" t="s">
        <v>136</v>
      </c>
      <c r="D484">
        <v>33</v>
      </c>
      <c r="E484">
        <v>442</v>
      </c>
      <c r="F484">
        <v>1620564</v>
      </c>
      <c r="G484" t="s">
        <v>987</v>
      </c>
      <c r="H484">
        <f t="shared" si="28"/>
        <v>0</v>
      </c>
      <c r="I484">
        <v>18</v>
      </c>
      <c r="J484">
        <v>2.0303030303030303</v>
      </c>
      <c r="K484">
        <f t="shared" si="29"/>
        <v>1</v>
      </c>
      <c r="L484">
        <f t="shared" si="30"/>
        <v>0</v>
      </c>
      <c r="M484">
        <v>9</v>
      </c>
      <c r="N484">
        <v>85</v>
      </c>
      <c r="O484">
        <f t="shared" si="31"/>
        <v>1</v>
      </c>
      <c r="P484">
        <v>0.61199999999999999</v>
      </c>
    </row>
    <row r="485" spans="1:16" x14ac:dyDescent="0.2">
      <c r="A485" t="s">
        <v>988</v>
      </c>
      <c r="B485" t="s">
        <v>610</v>
      </c>
      <c r="C485" t="s">
        <v>136</v>
      </c>
      <c r="D485">
        <v>25</v>
      </c>
      <c r="E485">
        <v>788</v>
      </c>
      <c r="F485">
        <v>1620564</v>
      </c>
      <c r="G485" t="s">
        <v>989</v>
      </c>
      <c r="H485">
        <f t="shared" si="28"/>
        <v>0</v>
      </c>
      <c r="I485">
        <v>45</v>
      </c>
      <c r="J485">
        <v>2.0217391304347827</v>
      </c>
      <c r="K485">
        <f t="shared" si="29"/>
        <v>1</v>
      </c>
      <c r="L485">
        <f t="shared" si="30"/>
        <v>0</v>
      </c>
      <c r="M485">
        <v>5</v>
      </c>
      <c r="N485">
        <v>224</v>
      </c>
      <c r="O485">
        <f t="shared" si="31"/>
        <v>1</v>
      </c>
      <c r="P485">
        <v>0.443</v>
      </c>
    </row>
    <row r="486" spans="1:16" x14ac:dyDescent="0.2">
      <c r="A486" t="s">
        <v>990</v>
      </c>
      <c r="B486" t="s">
        <v>610</v>
      </c>
      <c r="C486" t="s">
        <v>136</v>
      </c>
      <c r="D486">
        <v>28</v>
      </c>
      <c r="E486">
        <v>557</v>
      </c>
      <c r="F486">
        <v>1620564</v>
      </c>
      <c r="G486" t="s">
        <v>991</v>
      </c>
      <c r="H486">
        <f t="shared" si="28"/>
        <v>0</v>
      </c>
      <c r="I486">
        <v>73</v>
      </c>
      <c r="J486">
        <v>2.7547169811320753</v>
      </c>
      <c r="K486">
        <f t="shared" si="29"/>
        <v>1</v>
      </c>
      <c r="L486">
        <f t="shared" si="30"/>
        <v>0</v>
      </c>
      <c r="M486">
        <v>6</v>
      </c>
      <c r="N486">
        <v>156</v>
      </c>
      <c r="O486">
        <f t="shared" si="31"/>
        <v>1</v>
      </c>
      <c r="P486">
        <v>0.53900000000000003</v>
      </c>
    </row>
    <row r="487" spans="1:16" x14ac:dyDescent="0.2">
      <c r="A487" t="s">
        <v>992</v>
      </c>
      <c r="B487" t="s">
        <v>610</v>
      </c>
      <c r="C487" t="s">
        <v>136</v>
      </c>
      <c r="D487">
        <v>20</v>
      </c>
      <c r="E487">
        <v>5</v>
      </c>
      <c r="F487">
        <v>1517981</v>
      </c>
      <c r="G487" t="s">
        <v>993</v>
      </c>
      <c r="H487">
        <f t="shared" si="28"/>
        <v>0</v>
      </c>
      <c r="I487">
        <v>0</v>
      </c>
      <c r="J487">
        <v>0</v>
      </c>
      <c r="K487">
        <f t="shared" si="29"/>
        <v>1</v>
      </c>
      <c r="L487">
        <f t="shared" si="30"/>
        <v>0</v>
      </c>
      <c r="M487">
        <v>0</v>
      </c>
      <c r="N487">
        <v>5</v>
      </c>
      <c r="O487">
        <f t="shared" si="31"/>
        <v>1</v>
      </c>
      <c r="P487">
        <v>0.111</v>
      </c>
    </row>
    <row r="488" spans="1:16" x14ac:dyDescent="0.2">
      <c r="A488" t="s">
        <v>994</v>
      </c>
      <c r="B488" t="s">
        <v>610</v>
      </c>
      <c r="C488" t="s">
        <v>136</v>
      </c>
      <c r="D488">
        <v>23</v>
      </c>
      <c r="E488">
        <v>34</v>
      </c>
      <c r="F488">
        <v>1517981</v>
      </c>
      <c r="G488" t="s">
        <v>995</v>
      </c>
      <c r="H488">
        <f t="shared" si="28"/>
        <v>0</v>
      </c>
      <c r="I488">
        <v>2</v>
      </c>
      <c r="J488">
        <v>1.5</v>
      </c>
      <c r="K488">
        <f t="shared" si="29"/>
        <v>1</v>
      </c>
      <c r="L488">
        <f t="shared" si="30"/>
        <v>0</v>
      </c>
      <c r="M488">
        <v>0</v>
      </c>
      <c r="N488">
        <v>11</v>
      </c>
      <c r="O488">
        <f t="shared" si="31"/>
        <v>1</v>
      </c>
      <c r="P488">
        <v>0.55600000000000005</v>
      </c>
    </row>
    <row r="489" spans="1:16" x14ac:dyDescent="0.2">
      <c r="A489" t="s">
        <v>996</v>
      </c>
      <c r="B489" t="s">
        <v>610</v>
      </c>
      <c r="C489" t="s">
        <v>136</v>
      </c>
      <c r="D489">
        <v>22</v>
      </c>
      <c r="E489">
        <v>123</v>
      </c>
      <c r="F489">
        <v>1517981</v>
      </c>
      <c r="G489" t="s">
        <v>997</v>
      </c>
      <c r="H489">
        <f t="shared" si="28"/>
        <v>0</v>
      </c>
      <c r="I489">
        <v>7</v>
      </c>
      <c r="J489">
        <v>2</v>
      </c>
      <c r="K489">
        <f t="shared" si="29"/>
        <v>1</v>
      </c>
      <c r="L489">
        <f t="shared" si="30"/>
        <v>0</v>
      </c>
      <c r="M489">
        <v>1</v>
      </c>
      <c r="N489">
        <v>26</v>
      </c>
      <c r="O489">
        <f t="shared" si="31"/>
        <v>1</v>
      </c>
      <c r="P489">
        <v>0.505</v>
      </c>
    </row>
    <row r="490" spans="1:16" x14ac:dyDescent="0.2">
      <c r="A490" t="s">
        <v>998</v>
      </c>
      <c r="B490" t="s">
        <v>610</v>
      </c>
      <c r="C490" t="s">
        <v>136</v>
      </c>
      <c r="D490">
        <v>25</v>
      </c>
      <c r="E490">
        <v>2</v>
      </c>
      <c r="F490">
        <v>1445697</v>
      </c>
      <c r="G490" t="s">
        <v>999</v>
      </c>
      <c r="H490">
        <f t="shared" si="28"/>
        <v>0</v>
      </c>
      <c r="I490">
        <v>0</v>
      </c>
      <c r="J490">
        <v>1</v>
      </c>
      <c r="K490">
        <f t="shared" si="29"/>
        <v>1</v>
      </c>
      <c r="L490">
        <f t="shared" si="30"/>
        <v>0</v>
      </c>
      <c r="M490">
        <v>0</v>
      </c>
      <c r="N490">
        <v>5</v>
      </c>
      <c r="O490">
        <f t="shared" si="31"/>
        <v>1</v>
      </c>
      <c r="P490">
        <v>0.111</v>
      </c>
    </row>
    <row r="491" spans="1:16" x14ac:dyDescent="0.2">
      <c r="A491" t="s">
        <v>1000</v>
      </c>
      <c r="B491" t="s">
        <v>610</v>
      </c>
      <c r="C491" t="s">
        <v>136</v>
      </c>
      <c r="D491">
        <v>24</v>
      </c>
      <c r="E491">
        <v>2</v>
      </c>
      <c r="F491">
        <v>1416852</v>
      </c>
      <c r="G491" t="s">
        <v>1001</v>
      </c>
      <c r="H491">
        <f t="shared" si="28"/>
        <v>0</v>
      </c>
      <c r="I491">
        <v>0</v>
      </c>
      <c r="J491">
        <v>0</v>
      </c>
      <c r="K491">
        <f t="shared" si="29"/>
        <v>1</v>
      </c>
      <c r="L491">
        <f t="shared" si="30"/>
        <v>0</v>
      </c>
      <c r="M491">
        <v>0</v>
      </c>
      <c r="N491">
        <v>3</v>
      </c>
      <c r="O491">
        <f t="shared" si="31"/>
        <v>1</v>
      </c>
      <c r="P491">
        <v>0.125</v>
      </c>
    </row>
    <row r="492" spans="1:16" x14ac:dyDescent="0.2">
      <c r="A492" t="s">
        <v>1002</v>
      </c>
      <c r="B492" t="s">
        <v>610</v>
      </c>
      <c r="C492" t="s">
        <v>136</v>
      </c>
      <c r="D492">
        <v>29</v>
      </c>
      <c r="E492">
        <v>6</v>
      </c>
      <c r="F492">
        <v>1340333</v>
      </c>
      <c r="G492" t="s">
        <v>1003</v>
      </c>
      <c r="H492">
        <f t="shared" si="28"/>
        <v>0</v>
      </c>
      <c r="I492">
        <v>3</v>
      </c>
      <c r="J492">
        <v>2</v>
      </c>
      <c r="K492">
        <f t="shared" si="29"/>
        <v>1</v>
      </c>
      <c r="L492">
        <f t="shared" si="30"/>
        <v>0</v>
      </c>
      <c r="M492">
        <v>1</v>
      </c>
      <c r="N492">
        <v>15</v>
      </c>
      <c r="O492">
        <f t="shared" si="31"/>
        <v>1</v>
      </c>
      <c r="P492">
        <v>0.17899999999999999</v>
      </c>
    </row>
    <row r="493" spans="1:16" x14ac:dyDescent="0.2">
      <c r="A493" t="s">
        <v>1004</v>
      </c>
      <c r="B493" t="s">
        <v>610</v>
      </c>
      <c r="C493" t="s">
        <v>136</v>
      </c>
      <c r="D493">
        <v>20</v>
      </c>
      <c r="E493">
        <v>41</v>
      </c>
      <c r="F493">
        <v>898310</v>
      </c>
      <c r="G493" t="s">
        <v>1005</v>
      </c>
      <c r="H493">
        <f t="shared" si="28"/>
        <v>0</v>
      </c>
      <c r="I493">
        <v>2</v>
      </c>
      <c r="J493">
        <v>1</v>
      </c>
      <c r="K493">
        <f t="shared" si="29"/>
        <v>1</v>
      </c>
      <c r="L493">
        <f t="shared" si="30"/>
        <v>0</v>
      </c>
      <c r="M493">
        <v>0</v>
      </c>
      <c r="N493">
        <v>29</v>
      </c>
      <c r="O493">
        <f t="shared" si="31"/>
        <v>1</v>
      </c>
      <c r="P493">
        <v>0.47499999999999998</v>
      </c>
    </row>
    <row r="494" spans="1:16" x14ac:dyDescent="0.2">
      <c r="A494" t="s">
        <v>1006</v>
      </c>
      <c r="B494" t="s">
        <v>610</v>
      </c>
      <c r="C494" t="s">
        <v>136</v>
      </c>
      <c r="D494">
        <v>24</v>
      </c>
      <c r="E494">
        <v>89</v>
      </c>
      <c r="F494">
        <v>898310</v>
      </c>
      <c r="G494" t="s">
        <v>1007</v>
      </c>
      <c r="H494">
        <f t="shared" si="28"/>
        <v>0</v>
      </c>
      <c r="I494">
        <v>8</v>
      </c>
      <c r="J494">
        <v>2.1</v>
      </c>
      <c r="K494">
        <f t="shared" si="29"/>
        <v>1</v>
      </c>
      <c r="L494">
        <f t="shared" si="30"/>
        <v>0</v>
      </c>
      <c r="M494">
        <v>1</v>
      </c>
      <c r="N494">
        <v>30</v>
      </c>
      <c r="O494">
        <f t="shared" si="31"/>
        <v>1</v>
      </c>
      <c r="P494">
        <v>0.59</v>
      </c>
    </row>
    <row r="495" spans="1:16" x14ac:dyDescent="0.2">
      <c r="A495" t="s">
        <v>1008</v>
      </c>
      <c r="B495" t="s">
        <v>610</v>
      </c>
      <c r="C495" t="s">
        <v>136</v>
      </c>
      <c r="D495">
        <v>21</v>
      </c>
      <c r="E495">
        <v>153</v>
      </c>
      <c r="F495">
        <v>898310</v>
      </c>
      <c r="G495" t="s">
        <v>1009</v>
      </c>
      <c r="H495">
        <f t="shared" si="28"/>
        <v>0</v>
      </c>
      <c r="I495">
        <v>12</v>
      </c>
      <c r="J495">
        <v>1.8181818181818181</v>
      </c>
      <c r="K495">
        <f t="shared" si="29"/>
        <v>1</v>
      </c>
      <c r="L495">
        <f t="shared" si="30"/>
        <v>0</v>
      </c>
      <c r="M495">
        <v>4</v>
      </c>
      <c r="N495">
        <v>36</v>
      </c>
      <c r="O495">
        <f t="shared" si="31"/>
        <v>1</v>
      </c>
      <c r="P495">
        <v>0.50800000000000001</v>
      </c>
    </row>
    <row r="496" spans="1:16" x14ac:dyDescent="0.2">
      <c r="A496" t="s">
        <v>1010</v>
      </c>
      <c r="B496" t="s">
        <v>610</v>
      </c>
      <c r="C496" t="s">
        <v>136</v>
      </c>
      <c r="D496">
        <v>21</v>
      </c>
      <c r="E496">
        <v>23</v>
      </c>
      <c r="F496">
        <v>449155</v>
      </c>
      <c r="G496" t="s">
        <v>1011</v>
      </c>
      <c r="H496">
        <f t="shared" si="28"/>
        <v>0</v>
      </c>
      <c r="I496">
        <v>4</v>
      </c>
      <c r="J496">
        <v>0</v>
      </c>
      <c r="K496">
        <f t="shared" si="29"/>
        <v>1</v>
      </c>
      <c r="L496">
        <f t="shared" si="30"/>
        <v>0</v>
      </c>
      <c r="M496">
        <v>0</v>
      </c>
      <c r="N496">
        <v>5</v>
      </c>
      <c r="O496">
        <f t="shared" si="31"/>
        <v>1</v>
      </c>
      <c r="P496">
        <v>0.54800000000000004</v>
      </c>
    </row>
    <row r="497" spans="1:16" x14ac:dyDescent="0.2">
      <c r="A497" t="s">
        <v>1012</v>
      </c>
      <c r="B497" t="s">
        <v>610</v>
      </c>
      <c r="C497" t="s">
        <v>136</v>
      </c>
      <c r="D497">
        <v>23</v>
      </c>
      <c r="E497">
        <v>18</v>
      </c>
      <c r="F497">
        <v>449155</v>
      </c>
      <c r="G497" t="s">
        <v>1013</v>
      </c>
      <c r="H497">
        <f t="shared" si="28"/>
        <v>0</v>
      </c>
      <c r="I497">
        <v>1</v>
      </c>
      <c r="J497">
        <v>3</v>
      </c>
      <c r="K497">
        <f t="shared" si="29"/>
        <v>1</v>
      </c>
      <c r="L497">
        <f t="shared" si="30"/>
        <v>0</v>
      </c>
      <c r="M497">
        <v>0</v>
      </c>
      <c r="N497">
        <v>1</v>
      </c>
      <c r="O497">
        <f t="shared" si="31"/>
        <v>1</v>
      </c>
      <c r="P497">
        <v>0.75</v>
      </c>
    </row>
    <row r="498" spans="1:16" x14ac:dyDescent="0.2">
      <c r="A498" t="s">
        <v>1014</v>
      </c>
      <c r="B498" t="s">
        <v>610</v>
      </c>
      <c r="C498" t="s">
        <v>136</v>
      </c>
      <c r="D498">
        <v>21</v>
      </c>
      <c r="E498">
        <v>36</v>
      </c>
      <c r="F498">
        <v>449155</v>
      </c>
      <c r="G498" t="s">
        <v>1015</v>
      </c>
      <c r="H498">
        <f t="shared" si="28"/>
        <v>0</v>
      </c>
      <c r="I498">
        <v>1</v>
      </c>
      <c r="J498">
        <v>1</v>
      </c>
      <c r="K498">
        <f t="shared" si="29"/>
        <v>1</v>
      </c>
      <c r="L498">
        <f t="shared" si="30"/>
        <v>0</v>
      </c>
      <c r="M498">
        <v>2</v>
      </c>
      <c r="N498">
        <v>20</v>
      </c>
      <c r="O498">
        <f t="shared" si="31"/>
        <v>1</v>
      </c>
      <c r="P498">
        <v>0.33700000000000002</v>
      </c>
    </row>
    <row r="499" spans="1:16" x14ac:dyDescent="0.2">
      <c r="A499" t="s">
        <v>1016</v>
      </c>
      <c r="B499" t="s">
        <v>610</v>
      </c>
      <c r="C499" t="s">
        <v>136</v>
      </c>
      <c r="D499">
        <v>22</v>
      </c>
      <c r="E499">
        <v>9</v>
      </c>
      <c r="F499">
        <v>449155</v>
      </c>
      <c r="G499" t="s">
        <v>1017</v>
      </c>
      <c r="H499">
        <f t="shared" si="28"/>
        <v>0</v>
      </c>
      <c r="I499">
        <v>0</v>
      </c>
      <c r="J499">
        <v>1</v>
      </c>
      <c r="K499">
        <f t="shared" si="29"/>
        <v>1</v>
      </c>
      <c r="L499">
        <f t="shared" si="30"/>
        <v>0</v>
      </c>
      <c r="M499">
        <v>1</v>
      </c>
      <c r="N499">
        <v>1</v>
      </c>
      <c r="O499">
        <f t="shared" si="31"/>
        <v>1</v>
      </c>
      <c r="P499">
        <v>0.42899999999999999</v>
      </c>
    </row>
    <row r="500" spans="1:16" x14ac:dyDescent="0.2">
      <c r="A500" t="s">
        <v>1018</v>
      </c>
      <c r="B500" t="s">
        <v>610</v>
      </c>
      <c r="C500" t="s">
        <v>136</v>
      </c>
      <c r="D500">
        <v>23</v>
      </c>
      <c r="E500">
        <v>3</v>
      </c>
      <c r="F500">
        <v>449155</v>
      </c>
      <c r="G500" t="s">
        <v>1019</v>
      </c>
      <c r="H500">
        <f t="shared" si="28"/>
        <v>0</v>
      </c>
      <c r="I500">
        <v>0</v>
      </c>
      <c r="J500">
        <v>0.33333333333333331</v>
      </c>
      <c r="K500">
        <f t="shared" si="29"/>
        <v>1</v>
      </c>
      <c r="L500">
        <f t="shared" si="30"/>
        <v>0</v>
      </c>
      <c r="M500">
        <v>0</v>
      </c>
      <c r="N500">
        <v>2</v>
      </c>
      <c r="O500">
        <f t="shared" si="31"/>
        <v>1</v>
      </c>
      <c r="P500">
        <v>0</v>
      </c>
    </row>
    <row r="501" spans="1:16" x14ac:dyDescent="0.2">
      <c r="A501" t="s">
        <v>1020</v>
      </c>
      <c r="B501" t="s">
        <v>610</v>
      </c>
      <c r="C501" t="s">
        <v>136</v>
      </c>
      <c r="D501">
        <v>22</v>
      </c>
      <c r="E501">
        <v>15</v>
      </c>
      <c r="F501">
        <v>449155</v>
      </c>
      <c r="G501" t="s">
        <v>1021</v>
      </c>
      <c r="H501">
        <f t="shared" si="28"/>
        <v>0</v>
      </c>
      <c r="I501">
        <v>2</v>
      </c>
      <c r="J501">
        <v>1</v>
      </c>
      <c r="K501">
        <f t="shared" si="29"/>
        <v>1</v>
      </c>
      <c r="L501">
        <f t="shared" si="30"/>
        <v>0</v>
      </c>
      <c r="M501">
        <v>1</v>
      </c>
      <c r="N501">
        <v>5</v>
      </c>
      <c r="O501">
        <f t="shared" si="31"/>
        <v>1</v>
      </c>
      <c r="P501">
        <v>0.39500000000000002</v>
      </c>
    </row>
    <row r="502" spans="1:16" x14ac:dyDescent="0.2">
      <c r="A502" t="s">
        <v>1022</v>
      </c>
      <c r="B502" t="s">
        <v>610</v>
      </c>
      <c r="C502" t="s">
        <v>136</v>
      </c>
      <c r="D502">
        <v>22</v>
      </c>
      <c r="E502">
        <v>41</v>
      </c>
      <c r="F502">
        <v>449155</v>
      </c>
      <c r="G502" t="s">
        <v>1023</v>
      </c>
      <c r="H502">
        <f t="shared" si="28"/>
        <v>0</v>
      </c>
      <c r="I502">
        <v>2</v>
      </c>
      <c r="J502">
        <v>2.4</v>
      </c>
      <c r="K502">
        <f t="shared" si="29"/>
        <v>1</v>
      </c>
      <c r="L502">
        <f t="shared" si="30"/>
        <v>0</v>
      </c>
      <c r="M502">
        <v>1</v>
      </c>
      <c r="N502">
        <v>9</v>
      </c>
      <c r="O502">
        <f t="shared" si="31"/>
        <v>1</v>
      </c>
      <c r="P502">
        <v>0.54500000000000004</v>
      </c>
    </row>
    <row r="503" spans="1:16" x14ac:dyDescent="0.2">
      <c r="A503" t="s">
        <v>1024</v>
      </c>
      <c r="B503" t="s">
        <v>610</v>
      </c>
      <c r="C503" t="s">
        <v>136</v>
      </c>
      <c r="D503">
        <v>24</v>
      </c>
      <c r="E503">
        <v>22</v>
      </c>
      <c r="F503">
        <v>449155</v>
      </c>
      <c r="G503" t="s">
        <v>1025</v>
      </c>
      <c r="H503">
        <f t="shared" si="28"/>
        <v>0</v>
      </c>
      <c r="I503">
        <v>5</v>
      </c>
      <c r="J503">
        <v>0.66666666666666663</v>
      </c>
      <c r="K503">
        <f t="shared" si="29"/>
        <v>1</v>
      </c>
      <c r="L503">
        <f t="shared" si="30"/>
        <v>0</v>
      </c>
      <c r="M503">
        <v>2</v>
      </c>
      <c r="N503">
        <v>7</v>
      </c>
      <c r="O503">
        <f t="shared" si="31"/>
        <v>1</v>
      </c>
      <c r="P503">
        <v>0.318</v>
      </c>
    </row>
    <row r="504" spans="1:16" x14ac:dyDescent="0.2">
      <c r="A504" t="s">
        <v>1026</v>
      </c>
      <c r="B504" t="s">
        <v>610</v>
      </c>
      <c r="C504" t="s">
        <v>136</v>
      </c>
      <c r="D504">
        <v>23</v>
      </c>
      <c r="E504">
        <v>124</v>
      </c>
      <c r="F504">
        <v>449155</v>
      </c>
      <c r="G504" t="s">
        <v>1027</v>
      </c>
      <c r="H504">
        <f t="shared" si="28"/>
        <v>0</v>
      </c>
      <c r="I504">
        <v>14</v>
      </c>
      <c r="J504">
        <v>3.3333333333333335</v>
      </c>
      <c r="K504">
        <f t="shared" si="29"/>
        <v>1</v>
      </c>
      <c r="L504">
        <f t="shared" si="30"/>
        <v>0</v>
      </c>
      <c r="M504">
        <v>2</v>
      </c>
      <c r="N504">
        <v>35</v>
      </c>
      <c r="O504">
        <f t="shared" si="31"/>
        <v>1</v>
      </c>
      <c r="P504">
        <v>0.52</v>
      </c>
    </row>
    <row r="505" spans="1:16" x14ac:dyDescent="0.2">
      <c r="A505" t="s">
        <v>1028</v>
      </c>
      <c r="B505" t="s">
        <v>610</v>
      </c>
      <c r="C505" t="s">
        <v>136</v>
      </c>
      <c r="D505">
        <v>24</v>
      </c>
      <c r="E505">
        <v>354</v>
      </c>
      <c r="F505">
        <v>449155</v>
      </c>
      <c r="G505" t="s">
        <v>1029</v>
      </c>
      <c r="H505">
        <f t="shared" si="28"/>
        <v>0</v>
      </c>
      <c r="I505">
        <v>29</v>
      </c>
      <c r="J505">
        <v>2.6</v>
      </c>
      <c r="K505">
        <f t="shared" si="29"/>
        <v>1</v>
      </c>
      <c r="L505">
        <f t="shared" si="30"/>
        <v>0</v>
      </c>
      <c r="M505">
        <v>7</v>
      </c>
      <c r="N505">
        <v>87</v>
      </c>
      <c r="O505">
        <f t="shared" si="31"/>
        <v>1</v>
      </c>
      <c r="P505">
        <v>0.56999999999999995</v>
      </c>
    </row>
    <row r="506" spans="1:16" x14ac:dyDescent="0.2">
      <c r="A506" t="s">
        <v>1030</v>
      </c>
      <c r="B506" t="s">
        <v>610</v>
      </c>
      <c r="C506" t="s">
        <v>136</v>
      </c>
      <c r="D506">
        <v>25</v>
      </c>
      <c r="E506">
        <v>88</v>
      </c>
      <c r="F506">
        <v>449155</v>
      </c>
      <c r="G506" t="s">
        <v>1031</v>
      </c>
      <c r="H506">
        <f t="shared" si="28"/>
        <v>0</v>
      </c>
      <c r="I506">
        <v>7</v>
      </c>
      <c r="J506">
        <v>4.0625</v>
      </c>
      <c r="K506">
        <f t="shared" si="29"/>
        <v>1</v>
      </c>
      <c r="L506">
        <f t="shared" si="30"/>
        <v>0</v>
      </c>
      <c r="M506">
        <v>6</v>
      </c>
      <c r="N506">
        <v>24</v>
      </c>
      <c r="O506">
        <f t="shared" si="31"/>
        <v>1</v>
      </c>
      <c r="P506">
        <v>0.42599999999999999</v>
      </c>
    </row>
    <row r="507" spans="1:16" x14ac:dyDescent="0.2">
      <c r="A507" t="s">
        <v>1032</v>
      </c>
      <c r="B507" t="s">
        <v>610</v>
      </c>
      <c r="C507" t="s">
        <v>136</v>
      </c>
      <c r="D507">
        <v>23</v>
      </c>
      <c r="E507">
        <v>99</v>
      </c>
      <c r="F507">
        <v>449155</v>
      </c>
      <c r="G507" t="s">
        <v>1033</v>
      </c>
      <c r="H507">
        <f t="shared" si="28"/>
        <v>0</v>
      </c>
      <c r="I507">
        <v>15</v>
      </c>
      <c r="J507">
        <v>2.2962962962962963</v>
      </c>
      <c r="K507">
        <f t="shared" si="29"/>
        <v>1</v>
      </c>
      <c r="L507">
        <f t="shared" si="30"/>
        <v>0</v>
      </c>
      <c r="M507">
        <v>1</v>
      </c>
      <c r="N507">
        <v>21</v>
      </c>
      <c r="O507">
        <f t="shared" si="31"/>
        <v>1</v>
      </c>
      <c r="P507">
        <v>0.49399999999999999</v>
      </c>
    </row>
    <row r="508" spans="1:16" x14ac:dyDescent="0.2">
      <c r="A508" t="s">
        <v>1034</v>
      </c>
      <c r="B508" t="s">
        <v>610</v>
      </c>
      <c r="C508" t="s">
        <v>136</v>
      </c>
      <c r="D508">
        <v>24</v>
      </c>
      <c r="E508">
        <v>242</v>
      </c>
      <c r="F508">
        <v>449155</v>
      </c>
      <c r="G508" t="s">
        <v>1035</v>
      </c>
      <c r="H508">
        <f t="shared" si="28"/>
        <v>0</v>
      </c>
      <c r="I508">
        <v>21</v>
      </c>
      <c r="J508">
        <v>1.9705882352941178</v>
      </c>
      <c r="K508">
        <f t="shared" si="29"/>
        <v>1</v>
      </c>
      <c r="L508">
        <f t="shared" si="30"/>
        <v>0</v>
      </c>
      <c r="M508">
        <v>2</v>
      </c>
      <c r="N508">
        <v>56</v>
      </c>
      <c r="O508">
        <f t="shared" si="31"/>
        <v>1</v>
      </c>
      <c r="P508">
        <v>0.47599999999999998</v>
      </c>
    </row>
    <row r="509" spans="1:16" x14ac:dyDescent="0.2">
      <c r="A509" t="s">
        <v>1036</v>
      </c>
      <c r="B509" t="s">
        <v>610</v>
      </c>
      <c r="C509" t="s">
        <v>136</v>
      </c>
      <c r="D509">
        <v>22</v>
      </c>
      <c r="E509">
        <v>390</v>
      </c>
      <c r="F509">
        <v>449155</v>
      </c>
      <c r="G509" t="s">
        <v>1037</v>
      </c>
      <c r="H509">
        <f t="shared" si="28"/>
        <v>0</v>
      </c>
      <c r="I509">
        <v>15</v>
      </c>
      <c r="J509">
        <v>1.0588235294117647</v>
      </c>
      <c r="K509">
        <f t="shared" si="29"/>
        <v>1</v>
      </c>
      <c r="L509">
        <f t="shared" si="30"/>
        <v>0</v>
      </c>
      <c r="M509">
        <v>1</v>
      </c>
      <c r="N509">
        <v>86</v>
      </c>
      <c r="O509">
        <f t="shared" si="31"/>
        <v>1</v>
      </c>
      <c r="P509">
        <v>0.56100000000000005</v>
      </c>
    </row>
    <row r="510" spans="1:16" x14ac:dyDescent="0.2">
      <c r="A510" t="s">
        <v>1038</v>
      </c>
      <c r="B510" t="s">
        <v>610</v>
      </c>
      <c r="C510" t="s">
        <v>136</v>
      </c>
      <c r="D510">
        <v>27</v>
      </c>
      <c r="E510">
        <v>266</v>
      </c>
      <c r="F510">
        <v>449155</v>
      </c>
      <c r="G510" t="s">
        <v>1039</v>
      </c>
      <c r="H510">
        <f t="shared" si="28"/>
        <v>0</v>
      </c>
      <c r="I510">
        <v>22</v>
      </c>
      <c r="J510">
        <v>1.6086956521739131</v>
      </c>
      <c r="K510">
        <f t="shared" si="29"/>
        <v>1</v>
      </c>
      <c r="L510">
        <f t="shared" si="30"/>
        <v>0</v>
      </c>
      <c r="M510">
        <v>5</v>
      </c>
      <c r="N510">
        <v>82</v>
      </c>
      <c r="O510">
        <f t="shared" si="31"/>
        <v>1</v>
      </c>
      <c r="P510">
        <v>0.48099999999999998</v>
      </c>
    </row>
    <row r="511" spans="1:16" x14ac:dyDescent="0.2">
      <c r="A511" t="s">
        <v>1040</v>
      </c>
      <c r="B511" t="s">
        <v>610</v>
      </c>
      <c r="C511" t="s">
        <v>136</v>
      </c>
      <c r="D511">
        <v>21</v>
      </c>
      <c r="E511">
        <v>267</v>
      </c>
      <c r="F511">
        <v>449155</v>
      </c>
      <c r="G511" t="s">
        <v>1041</v>
      </c>
      <c r="H511">
        <f t="shared" si="28"/>
        <v>0</v>
      </c>
      <c r="I511">
        <v>32</v>
      </c>
      <c r="J511">
        <v>3.1636363636363636</v>
      </c>
      <c r="K511">
        <f t="shared" si="29"/>
        <v>1</v>
      </c>
      <c r="L511">
        <f t="shared" si="30"/>
        <v>0</v>
      </c>
      <c r="M511">
        <v>13</v>
      </c>
      <c r="N511">
        <v>97</v>
      </c>
      <c r="O511">
        <f t="shared" si="31"/>
        <v>1</v>
      </c>
      <c r="P511">
        <v>0.49</v>
      </c>
    </row>
    <row r="512" spans="1:16" x14ac:dyDescent="0.2">
      <c r="A512" t="s">
        <v>1042</v>
      </c>
      <c r="B512" t="s">
        <v>610</v>
      </c>
      <c r="C512" t="s">
        <v>136</v>
      </c>
      <c r="D512">
        <v>25</v>
      </c>
      <c r="E512">
        <v>816</v>
      </c>
      <c r="F512">
        <v>163861</v>
      </c>
      <c r="G512" t="s">
        <v>1043</v>
      </c>
      <c r="H512">
        <f t="shared" si="28"/>
        <v>0</v>
      </c>
      <c r="I512">
        <v>48</v>
      </c>
      <c r="J512">
        <v>3.5119047619047619</v>
      </c>
      <c r="K512">
        <f t="shared" si="29"/>
        <v>1</v>
      </c>
      <c r="L512">
        <f t="shared" si="30"/>
        <v>0</v>
      </c>
      <c r="M512">
        <v>6</v>
      </c>
      <c r="N512">
        <v>148</v>
      </c>
      <c r="O512">
        <f t="shared" si="31"/>
        <v>1</v>
      </c>
      <c r="P512">
        <v>0.51</v>
      </c>
    </row>
    <row r="513" spans="1:16" x14ac:dyDescent="0.2">
      <c r="A513" t="s">
        <v>1044</v>
      </c>
      <c r="B513" t="s">
        <v>610</v>
      </c>
      <c r="C513" t="s">
        <v>136</v>
      </c>
      <c r="D513">
        <v>30</v>
      </c>
      <c r="E513">
        <v>100</v>
      </c>
      <c r="F513">
        <v>39608</v>
      </c>
      <c r="G513" t="s">
        <v>1045</v>
      </c>
      <c r="H513">
        <f t="shared" si="28"/>
        <v>0</v>
      </c>
      <c r="I513">
        <v>6</v>
      </c>
      <c r="J513">
        <v>2.7</v>
      </c>
      <c r="K513">
        <f t="shared" si="29"/>
        <v>1</v>
      </c>
      <c r="L513">
        <f t="shared" si="30"/>
        <v>0</v>
      </c>
      <c r="M513">
        <v>1</v>
      </c>
      <c r="N513">
        <v>32</v>
      </c>
      <c r="O513">
        <f t="shared" si="31"/>
        <v>1</v>
      </c>
      <c r="P513">
        <v>0.42899999999999999</v>
      </c>
    </row>
    <row r="514" spans="1:16" x14ac:dyDescent="0.2">
      <c r="A514" t="s">
        <v>1046</v>
      </c>
      <c r="B514" t="s">
        <v>610</v>
      </c>
      <c r="C514" t="s">
        <v>136</v>
      </c>
      <c r="D514">
        <v>25</v>
      </c>
      <c r="E514">
        <v>16</v>
      </c>
      <c r="F514">
        <v>24611</v>
      </c>
      <c r="G514" t="s">
        <v>1047</v>
      </c>
      <c r="H514">
        <f t="shared" si="28"/>
        <v>0</v>
      </c>
      <c r="I514">
        <v>0</v>
      </c>
      <c r="J514">
        <v>0.75</v>
      </c>
      <c r="K514">
        <f t="shared" si="29"/>
        <v>1</v>
      </c>
      <c r="L514">
        <f t="shared" si="30"/>
        <v>0</v>
      </c>
      <c r="M514">
        <v>1</v>
      </c>
      <c r="N514">
        <v>6</v>
      </c>
      <c r="O514">
        <f t="shared" si="31"/>
        <v>1</v>
      </c>
      <c r="P514">
        <v>0.5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opLeftCell="A10" zoomScale="140" zoomScaleNormal="140" workbookViewId="0">
      <selection activeCell="E30" sqref="E30"/>
    </sheetView>
  </sheetViews>
  <sheetFormatPr baseColWidth="10" defaultColWidth="10.5" defaultRowHeight="16" x14ac:dyDescent="0.2"/>
  <cols>
    <col min="1" max="1" width="14.83203125" customWidth="1"/>
  </cols>
  <sheetData>
    <row r="1" spans="1:9" x14ac:dyDescent="0.2">
      <c r="A1" t="s">
        <v>1048</v>
      </c>
    </row>
    <row r="2" spans="1:9" ht="16.5" customHeight="1" x14ac:dyDescent="0.2"/>
    <row r="3" spans="1:9" x14ac:dyDescent="0.2">
      <c r="A3" s="18" t="s">
        <v>1049</v>
      </c>
      <c r="B3" s="18"/>
    </row>
    <row r="4" spans="1:9" x14ac:dyDescent="0.2">
      <c r="A4" t="s">
        <v>1050</v>
      </c>
      <c r="B4">
        <v>0.71512318081529147</v>
      </c>
    </row>
    <row r="5" spans="1:9" x14ac:dyDescent="0.2">
      <c r="A5" t="s">
        <v>1051</v>
      </c>
      <c r="B5">
        <v>0.51140116373938005</v>
      </c>
    </row>
    <row r="6" spans="1:9" x14ac:dyDescent="0.2">
      <c r="A6" t="s">
        <v>1052</v>
      </c>
      <c r="B6">
        <v>0.50067344477956599</v>
      </c>
    </row>
    <row r="7" spans="1:9" x14ac:dyDescent="0.2">
      <c r="A7" t="s">
        <v>1053</v>
      </c>
      <c r="B7">
        <v>6396136.6474730698</v>
      </c>
    </row>
    <row r="8" spans="1:9" ht="16.5" customHeight="1" x14ac:dyDescent="0.2">
      <c r="A8" s="4" t="s">
        <v>1054</v>
      </c>
      <c r="B8" s="4">
        <v>513</v>
      </c>
    </row>
    <row r="10" spans="1:9" ht="16.5" customHeight="1" x14ac:dyDescent="0.2">
      <c r="A10" t="s">
        <v>1055</v>
      </c>
    </row>
    <row r="11" spans="1:9" x14ac:dyDescent="0.2">
      <c r="A11" s="3"/>
      <c r="B11" s="3" t="s">
        <v>1056</v>
      </c>
      <c r="C11" s="3" t="s">
        <v>1057</v>
      </c>
      <c r="D11" s="3" t="s">
        <v>1058</v>
      </c>
      <c r="E11" s="3" t="s">
        <v>1059</v>
      </c>
      <c r="F11" s="3" t="s">
        <v>1060</v>
      </c>
    </row>
    <row r="12" spans="1:9" x14ac:dyDescent="0.2">
      <c r="A12" t="s">
        <v>1061</v>
      </c>
      <c r="B12">
        <v>11</v>
      </c>
      <c r="C12">
        <v>2.1452725538694708E+16</v>
      </c>
      <c r="D12">
        <v>1950247776244973.5</v>
      </c>
      <c r="E12">
        <v>47.671006824012323</v>
      </c>
      <c r="F12">
        <v>7.5259502198313978E-71</v>
      </c>
    </row>
    <row r="13" spans="1:9" x14ac:dyDescent="0.2">
      <c r="A13" t="s">
        <v>1062</v>
      </c>
      <c r="B13">
        <v>501</v>
      </c>
      <c r="C13">
        <v>2.0496192570587172E+16</v>
      </c>
      <c r="D13">
        <v>40910564013148.047</v>
      </c>
    </row>
    <row r="14" spans="1:9" ht="16.5" customHeight="1" x14ac:dyDescent="0.2">
      <c r="A14" s="4" t="s">
        <v>1063</v>
      </c>
      <c r="B14" s="4">
        <v>512</v>
      </c>
      <c r="C14" s="4">
        <v>4.194891810928188E+16</v>
      </c>
      <c r="D14" s="4"/>
      <c r="E14" s="4"/>
      <c r="F14" s="4"/>
    </row>
    <row r="15" spans="1:9" ht="16.5" customHeight="1" x14ac:dyDescent="0.2"/>
    <row r="16" spans="1:9" x14ac:dyDescent="0.2">
      <c r="A16" s="3"/>
      <c r="B16" s="3" t="s">
        <v>1064</v>
      </c>
      <c r="C16" s="3" t="s">
        <v>1053</v>
      </c>
      <c r="D16" s="3" t="s">
        <v>1065</v>
      </c>
      <c r="E16" s="3" t="s">
        <v>1066</v>
      </c>
      <c r="F16" s="3" t="s">
        <v>1067</v>
      </c>
      <c r="G16" s="3" t="s">
        <v>1068</v>
      </c>
      <c r="H16" s="3" t="s">
        <v>1069</v>
      </c>
      <c r="I16" s="3" t="s">
        <v>1070</v>
      </c>
    </row>
    <row r="17" spans="1:9" x14ac:dyDescent="0.2">
      <c r="A17" t="s">
        <v>1071</v>
      </c>
      <c r="B17">
        <v>-12990878.579843437</v>
      </c>
      <c r="C17">
        <v>2625691.8348925975</v>
      </c>
      <c r="D17">
        <v>-4.9476021546811957</v>
      </c>
      <c r="E17" s="5">
        <v>1.0275540452186653E-6</v>
      </c>
      <c r="F17">
        <v>-18149602.430708826</v>
      </c>
      <c r="G17">
        <v>-7832154.7289780499</v>
      </c>
      <c r="H17">
        <v>-18149602.430708826</v>
      </c>
      <c r="I17">
        <v>-7832154.7289780499</v>
      </c>
    </row>
    <row r="18" spans="1:9" x14ac:dyDescent="0.2">
      <c r="A18" t="s">
        <v>11</v>
      </c>
      <c r="B18">
        <v>909917.46380006254</v>
      </c>
      <c r="C18">
        <v>867748.74738591723</v>
      </c>
      <c r="D18">
        <v>1.0485955370620563</v>
      </c>
      <c r="E18">
        <v>0.2948698897617697</v>
      </c>
      <c r="F18">
        <v>-794957.45724390028</v>
      </c>
      <c r="G18">
        <v>2614792.3848440251</v>
      </c>
      <c r="H18">
        <v>-794957.45724390028</v>
      </c>
      <c r="I18">
        <v>2614792.3848440251</v>
      </c>
    </row>
    <row r="19" spans="1:9" x14ac:dyDescent="0.2">
      <c r="A19" t="s">
        <v>10</v>
      </c>
      <c r="B19">
        <v>709240.75558162876</v>
      </c>
      <c r="C19">
        <v>863432.05188680021</v>
      </c>
      <c r="D19">
        <v>0.82142046271246527</v>
      </c>
      <c r="E19">
        <v>0.41179751818512189</v>
      </c>
      <c r="F19">
        <v>-987153.1092575303</v>
      </c>
      <c r="G19">
        <v>2405634.6204207879</v>
      </c>
      <c r="H19">
        <v>-987153.1092575303</v>
      </c>
      <c r="I19">
        <v>2405634.6204207879</v>
      </c>
    </row>
    <row r="20" spans="1:9" x14ac:dyDescent="0.2">
      <c r="A20" t="s">
        <v>14</v>
      </c>
      <c r="B20">
        <v>-962087.02601315838</v>
      </c>
      <c r="C20">
        <v>1135611.1895011745</v>
      </c>
      <c r="D20">
        <v>-0.84719755749832137</v>
      </c>
      <c r="E20">
        <v>0.39728953298380365</v>
      </c>
      <c r="F20">
        <v>-3193234.0520041017</v>
      </c>
      <c r="G20">
        <v>1269059.9999777849</v>
      </c>
      <c r="H20">
        <v>-3193234.0520041017</v>
      </c>
      <c r="I20">
        <v>1269059.9999777849</v>
      </c>
    </row>
    <row r="21" spans="1:9" x14ac:dyDescent="0.2">
      <c r="A21" t="s">
        <v>7</v>
      </c>
      <c r="B21">
        <v>-70622.782460949747</v>
      </c>
      <c r="C21">
        <v>960431.66786402417</v>
      </c>
      <c r="D21">
        <v>-7.3532334286741122E-2</v>
      </c>
      <c r="E21">
        <v>0.94141186273480604</v>
      </c>
      <c r="F21">
        <v>-1957592.7940576193</v>
      </c>
      <c r="G21">
        <v>1816347.2291357198</v>
      </c>
      <c r="H21">
        <v>-1957592.7940576193</v>
      </c>
      <c r="I21">
        <v>1816347.2291357198</v>
      </c>
    </row>
    <row r="22" spans="1:9" x14ac:dyDescent="0.2">
      <c r="A22" t="s">
        <v>3</v>
      </c>
      <c r="B22">
        <v>656218.23955949931</v>
      </c>
      <c r="C22">
        <v>73048.39497519072</v>
      </c>
      <c r="D22">
        <v>8.9833354967261005</v>
      </c>
      <c r="E22" s="5">
        <v>5.3417975144911576E-18</v>
      </c>
      <c r="F22">
        <v>512699.30393338995</v>
      </c>
      <c r="G22">
        <v>799737.17518560868</v>
      </c>
      <c r="H22">
        <v>512699.30393338995</v>
      </c>
      <c r="I22">
        <v>799737.17518560868</v>
      </c>
    </row>
    <row r="23" spans="1:9" x14ac:dyDescent="0.2">
      <c r="A23" t="s">
        <v>15</v>
      </c>
      <c r="B23">
        <v>-7479852.7780789929</v>
      </c>
      <c r="C23">
        <v>3133742.2099426873</v>
      </c>
      <c r="D23">
        <v>-2.3868755873878316</v>
      </c>
      <c r="E23" s="5">
        <v>1.7362259663694039E-2</v>
      </c>
      <c r="F23">
        <v>-13636748.444990421</v>
      </c>
      <c r="G23">
        <v>-1322957.1111675657</v>
      </c>
      <c r="H23">
        <v>-13636748.444990421</v>
      </c>
      <c r="I23">
        <v>-1322957.1111675657</v>
      </c>
    </row>
    <row r="24" spans="1:9" x14ac:dyDescent="0.2">
      <c r="A24" t="s">
        <v>13</v>
      </c>
      <c r="B24">
        <v>-4118.0036474569215</v>
      </c>
      <c r="C24">
        <v>3779.2335941084993</v>
      </c>
      <c r="D24">
        <v>-1.0896398819793875</v>
      </c>
      <c r="E24">
        <v>0.27639563340730383</v>
      </c>
      <c r="F24">
        <v>-11543.102899714264</v>
      </c>
      <c r="G24">
        <v>3307.0956048004209</v>
      </c>
      <c r="H24">
        <v>-11543.102899714264</v>
      </c>
      <c r="I24">
        <v>3307.0956048004209</v>
      </c>
    </row>
    <row r="25" spans="1:9" x14ac:dyDescent="0.2">
      <c r="A25" t="s">
        <v>8</v>
      </c>
      <c r="B25">
        <v>-8677.3253136115363</v>
      </c>
      <c r="C25">
        <v>19636.276245787722</v>
      </c>
      <c r="D25">
        <v>-0.44190279282065781</v>
      </c>
      <c r="E25">
        <v>0.65875023003207644</v>
      </c>
      <c r="F25">
        <v>-47256.919942800043</v>
      </c>
      <c r="G25">
        <v>29902.269315576967</v>
      </c>
      <c r="H25">
        <v>-47256.919942800043</v>
      </c>
      <c r="I25">
        <v>29902.269315576967</v>
      </c>
    </row>
    <row r="26" spans="1:9" x14ac:dyDescent="0.2">
      <c r="A26" t="s">
        <v>12</v>
      </c>
      <c r="B26">
        <v>19623.078795685327</v>
      </c>
      <c r="C26">
        <v>19401.62787056289</v>
      </c>
      <c r="D26">
        <v>1.0114140383786268</v>
      </c>
      <c r="E26">
        <v>0.31230651553893807</v>
      </c>
      <c r="F26">
        <v>-18495.499748617243</v>
      </c>
      <c r="G26">
        <v>57741.657339987898</v>
      </c>
      <c r="H26">
        <v>-18495.499748617243</v>
      </c>
      <c r="I26">
        <v>57741.657339987898</v>
      </c>
    </row>
    <row r="27" spans="1:9" x14ac:dyDescent="0.2">
      <c r="A27" t="s">
        <v>4</v>
      </c>
      <c r="B27">
        <v>14774.025732659989</v>
      </c>
      <c r="C27">
        <v>1256.5188010931695</v>
      </c>
      <c r="D27">
        <v>11.757902643244661</v>
      </c>
      <c r="E27" s="5">
        <v>2.3461680972341039E-28</v>
      </c>
      <c r="F27">
        <v>12305.33027414467</v>
      </c>
      <c r="G27">
        <v>17242.721191175311</v>
      </c>
      <c r="H27">
        <v>12305.33027414467</v>
      </c>
      <c r="I27">
        <v>17242.721191175311</v>
      </c>
    </row>
    <row r="28" spans="1:9" ht="16.5" customHeight="1" x14ac:dyDescent="0.2">
      <c r="A28" s="4" t="s">
        <v>9</v>
      </c>
      <c r="B28" s="4">
        <v>298707.20443782629</v>
      </c>
      <c r="C28" s="4">
        <v>345887.38936970581</v>
      </c>
      <c r="D28" s="4">
        <v>0.86359668961087677</v>
      </c>
      <c r="E28" s="4">
        <v>0.38822272601430163</v>
      </c>
      <c r="F28" s="4">
        <v>-380861.31976716733</v>
      </c>
      <c r="G28" s="4">
        <v>978275.72864281991</v>
      </c>
      <c r="H28" s="4">
        <v>-380861.31976716733</v>
      </c>
      <c r="I28" s="4">
        <v>978275.72864281991</v>
      </c>
    </row>
    <row r="30" spans="1:9" x14ac:dyDescent="0.2">
      <c r="A30" s="6" t="s">
        <v>1072</v>
      </c>
    </row>
    <row r="31" spans="1:9" x14ac:dyDescent="0.2">
      <c r="A31" t="s">
        <v>1073</v>
      </c>
      <c r="B31">
        <f>B5</f>
        <v>0.51140116373938005</v>
      </c>
      <c r="D31" t="s">
        <v>1074</v>
      </c>
    </row>
    <row r="32" spans="1:9" x14ac:dyDescent="0.2">
      <c r="A32" t="s">
        <v>1075</v>
      </c>
      <c r="B32">
        <f>B6</f>
        <v>0.50067344477956599</v>
      </c>
      <c r="D32" t="s">
        <v>1076</v>
      </c>
    </row>
    <row r="34" spans="1:1" x14ac:dyDescent="0.2">
      <c r="A34" t="s">
        <v>1077</v>
      </c>
    </row>
    <row r="35" spans="1:1" x14ac:dyDescent="0.2">
      <c r="A35" t="s">
        <v>1071</v>
      </c>
    </row>
    <row r="36" spans="1:1" x14ac:dyDescent="0.2">
      <c r="A36" t="s">
        <v>3</v>
      </c>
    </row>
    <row r="37" spans="1:1" x14ac:dyDescent="0.2">
      <c r="A37" t="s">
        <v>1078</v>
      </c>
    </row>
    <row r="38" spans="1:1" x14ac:dyDescent="0.2">
      <c r="A38" t="s">
        <v>1079</v>
      </c>
    </row>
    <row r="40" spans="1:1" x14ac:dyDescent="0.2">
      <c r="A40" t="s">
        <v>1080</v>
      </c>
    </row>
    <row r="41" spans="1:1" x14ac:dyDescent="0.2">
      <c r="A41" t="s">
        <v>1081</v>
      </c>
    </row>
    <row r="42" spans="1:1" x14ac:dyDescent="0.2">
      <c r="A42" t="s">
        <v>1082</v>
      </c>
    </row>
    <row r="43" spans="1:1" x14ac:dyDescent="0.2">
      <c r="A43" t="s">
        <v>1083</v>
      </c>
    </row>
    <row r="44" spans="1:1" x14ac:dyDescent="0.2">
      <c r="A44" t="s">
        <v>1084</v>
      </c>
    </row>
    <row r="45" spans="1:1" x14ac:dyDescent="0.2">
      <c r="A45" t="s">
        <v>1085</v>
      </c>
    </row>
    <row r="46" spans="1:1" x14ac:dyDescent="0.2">
      <c r="A46" t="s">
        <v>1086</v>
      </c>
    </row>
    <row r="47" spans="1:1" x14ac:dyDescent="0.2">
      <c r="A47" t="s">
        <v>1087</v>
      </c>
    </row>
    <row r="48" spans="1:1" x14ac:dyDescent="0.2">
      <c r="A48" t="s">
        <v>1088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A11" zoomScale="150" zoomScaleNormal="150" workbookViewId="0">
      <selection activeCell="E27" sqref="E27"/>
    </sheetView>
  </sheetViews>
  <sheetFormatPr baseColWidth="10" defaultColWidth="10.5" defaultRowHeight="16" x14ac:dyDescent="0.2"/>
  <sheetData>
    <row r="1" spans="1:6" x14ac:dyDescent="0.2">
      <c r="A1" s="6" t="s">
        <v>1089</v>
      </c>
    </row>
    <row r="2" spans="1:6" x14ac:dyDescent="0.2">
      <c r="A2" t="s">
        <v>1090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0.71511949391259444</v>
      </c>
    </row>
    <row r="8" spans="1:6" x14ac:dyDescent="0.2">
      <c r="A8" t="s">
        <v>1051</v>
      </c>
      <c r="B8">
        <v>0.51139589057380519</v>
      </c>
    </row>
    <row r="9" spans="1:6" x14ac:dyDescent="0.2">
      <c r="A9" t="s">
        <v>1052</v>
      </c>
      <c r="B9">
        <v>0.50166274098364194</v>
      </c>
    </row>
    <row r="10" spans="1:6" x14ac:dyDescent="0.2">
      <c r="A10" t="s">
        <v>1053</v>
      </c>
      <c r="B10">
        <v>6389797.2980615618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10</v>
      </c>
      <c r="C15">
        <v>2.1452504335103832E+16</v>
      </c>
      <c r="D15">
        <v>2145250433510383.2</v>
      </c>
      <c r="E15">
        <v>52.541665556095516</v>
      </c>
      <c r="F15">
        <v>1.0128835905310152E-71</v>
      </c>
    </row>
    <row r="16" spans="1:6" x14ac:dyDescent="0.2">
      <c r="A16" t="s">
        <v>1062</v>
      </c>
      <c r="B16">
        <v>502</v>
      </c>
      <c r="C16">
        <v>2.0496413774178048E+16</v>
      </c>
      <c r="D16">
        <v>40829509510314.836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-13065098.938063925</v>
      </c>
      <c r="C20">
        <v>2421531.6936092433</v>
      </c>
      <c r="D20">
        <v>-5.3953863055125506</v>
      </c>
      <c r="E20" s="5">
        <v>1.0555139024767892E-7</v>
      </c>
      <c r="F20">
        <v>-17822684.302409079</v>
      </c>
      <c r="G20">
        <v>-8307513.5737187704</v>
      </c>
      <c r="H20">
        <v>-17822684.302409079</v>
      </c>
      <c r="I20">
        <v>-8307513.5737187704</v>
      </c>
    </row>
    <row r="21" spans="1:9" x14ac:dyDescent="0.2">
      <c r="A21" t="s">
        <v>11</v>
      </c>
      <c r="B21">
        <v>905681.8740882437</v>
      </c>
      <c r="C21">
        <v>864976.66873985424</v>
      </c>
      <c r="D21">
        <v>1.0470593101750258</v>
      </c>
      <c r="E21">
        <v>0.29557609565901344</v>
      </c>
      <c r="F21">
        <v>-793738.51778907096</v>
      </c>
      <c r="G21">
        <v>2605102.2659655586</v>
      </c>
      <c r="H21">
        <v>-793738.51778907096</v>
      </c>
      <c r="I21">
        <v>2605102.2659655586</v>
      </c>
    </row>
    <row r="22" spans="1:9" x14ac:dyDescent="0.2">
      <c r="A22" t="s">
        <v>10</v>
      </c>
      <c r="B22">
        <v>705939.66044521553</v>
      </c>
      <c r="C22">
        <v>861409.5717981084</v>
      </c>
      <c r="D22">
        <v>0.81951685186366741</v>
      </c>
      <c r="E22">
        <v>0.41288049769560786</v>
      </c>
      <c r="F22">
        <v>-986472.45305687143</v>
      </c>
      <c r="G22">
        <v>2398351.7739473023</v>
      </c>
      <c r="H22">
        <v>-986472.45305687143</v>
      </c>
      <c r="I22">
        <v>2398351.7739473023</v>
      </c>
    </row>
    <row r="23" spans="1:9" x14ac:dyDescent="0.2">
      <c r="A23" t="s">
        <v>14</v>
      </c>
      <c r="B23">
        <v>-897010.78543595225</v>
      </c>
      <c r="C23">
        <v>710901.88555209269</v>
      </c>
      <c r="D23">
        <v>-1.2617926660010554</v>
      </c>
      <c r="E23">
        <v>0.20760935657242829</v>
      </c>
      <c r="F23">
        <v>-2293720.3206090997</v>
      </c>
      <c r="G23">
        <v>499698.74973719509</v>
      </c>
      <c r="H23">
        <v>-2293720.3206090997</v>
      </c>
      <c r="I23">
        <v>499698.74973719509</v>
      </c>
    </row>
    <row r="24" spans="1:9" x14ac:dyDescent="0.2">
      <c r="A24" t="s">
        <v>3</v>
      </c>
      <c r="B24">
        <v>656643.54344800219</v>
      </c>
      <c r="C24">
        <v>72746.880425329131</v>
      </c>
      <c r="D24">
        <v>9.02641514809714</v>
      </c>
      <c r="E24" s="5">
        <v>3.789138754373203E-18</v>
      </c>
      <c r="F24">
        <v>513717.68601375207</v>
      </c>
      <c r="G24">
        <v>799569.40088225226</v>
      </c>
      <c r="H24">
        <v>513717.68601375207</v>
      </c>
      <c r="I24">
        <v>799569.40088225226</v>
      </c>
    </row>
    <row r="25" spans="1:9" x14ac:dyDescent="0.2">
      <c r="A25" t="s">
        <v>15</v>
      </c>
      <c r="B25">
        <v>-7458073.5163121531</v>
      </c>
      <c r="C25">
        <v>3116621.7500007884</v>
      </c>
      <c r="D25">
        <v>-2.3929992519336896</v>
      </c>
      <c r="E25" s="5">
        <v>1.7077739234612459E-2</v>
      </c>
      <c r="F25">
        <v>-13581302.901719581</v>
      </c>
      <c r="G25">
        <v>-1334844.1309047251</v>
      </c>
      <c r="H25">
        <v>-13581302.901719581</v>
      </c>
      <c r="I25">
        <v>-1334844.1309047251</v>
      </c>
    </row>
    <row r="26" spans="1:9" x14ac:dyDescent="0.2">
      <c r="A26" t="s">
        <v>13</v>
      </c>
      <c r="B26">
        <v>-4058.0461992189453</v>
      </c>
      <c r="C26">
        <v>3686.5657745211329</v>
      </c>
      <c r="D26">
        <v>-1.1007659831448595</v>
      </c>
      <c r="E26">
        <v>0.27152605652343331</v>
      </c>
      <c r="F26">
        <v>-11301.045091137537</v>
      </c>
      <c r="G26">
        <v>3184.9526926996473</v>
      </c>
      <c r="H26">
        <v>-11301.045091137537</v>
      </c>
      <c r="I26">
        <v>3184.9526926996473</v>
      </c>
    </row>
    <row r="27" spans="1:9" x14ac:dyDescent="0.2">
      <c r="A27" t="s">
        <v>8</v>
      </c>
      <c r="B27">
        <v>-9104.9358353827956</v>
      </c>
      <c r="C27">
        <v>18736.835823391466</v>
      </c>
      <c r="D27">
        <v>-0.48593774963945618</v>
      </c>
      <c r="E27">
        <v>0.62722334097137455</v>
      </c>
      <c r="F27">
        <v>-45917.213008034938</v>
      </c>
      <c r="G27">
        <v>27707.34133726935</v>
      </c>
      <c r="H27">
        <v>-45917.213008034938</v>
      </c>
      <c r="I27">
        <v>27707.34133726935</v>
      </c>
    </row>
    <row r="28" spans="1:9" x14ac:dyDescent="0.2">
      <c r="A28" t="s">
        <v>12</v>
      </c>
      <c r="B28">
        <v>20067.249171037965</v>
      </c>
      <c r="C28">
        <v>18419.074349500857</v>
      </c>
      <c r="D28">
        <v>1.0894819571419869</v>
      </c>
      <c r="E28">
        <v>0.27646412185004282</v>
      </c>
      <c r="F28">
        <v>-16120.721765390019</v>
      </c>
      <c r="G28">
        <v>56255.220107465953</v>
      </c>
      <c r="H28">
        <v>-16120.721765390019</v>
      </c>
      <c r="I28">
        <v>56255.220107465953</v>
      </c>
    </row>
    <row r="29" spans="1:9" x14ac:dyDescent="0.2">
      <c r="A29" t="s">
        <v>4</v>
      </c>
      <c r="B29">
        <v>14763.51809070862</v>
      </c>
      <c r="C29">
        <v>1247.1294846696387</v>
      </c>
      <c r="D29">
        <v>11.837999399572722</v>
      </c>
      <c r="E29" s="5">
        <v>1.0983652010865185E-28</v>
      </c>
      <c r="F29">
        <v>12313.281738499621</v>
      </c>
      <c r="G29">
        <v>17213.754442917616</v>
      </c>
      <c r="H29">
        <v>12313.281738499621</v>
      </c>
      <c r="I29">
        <v>17213.754442917616</v>
      </c>
    </row>
    <row r="30" spans="1:9" ht="16.5" customHeight="1" x14ac:dyDescent="0.2">
      <c r="A30" s="4" t="s">
        <v>9</v>
      </c>
      <c r="B30" s="4">
        <v>297784.41529595287</v>
      </c>
      <c r="C30" s="4">
        <v>345317.06531879865</v>
      </c>
      <c r="D30" s="4">
        <v>0.86235070664994973</v>
      </c>
      <c r="E30" s="4">
        <v>0.38890631757955108</v>
      </c>
      <c r="F30" s="4">
        <v>-380660.31468842499</v>
      </c>
      <c r="G30" s="4">
        <v>976229.14528033079</v>
      </c>
      <c r="H30" s="4">
        <v>-380660.31468842499</v>
      </c>
      <c r="I30" s="4">
        <v>976229.14528033079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zoomScale="137" zoomScaleNormal="137" workbookViewId="0"/>
  </sheetViews>
  <sheetFormatPr baseColWidth="10" defaultColWidth="10.5" defaultRowHeight="16" x14ac:dyDescent="0.2"/>
  <sheetData>
    <row r="1" spans="1:6" x14ac:dyDescent="0.2">
      <c r="A1" s="7" t="s">
        <v>1091</v>
      </c>
    </row>
    <row r="2" spans="1:6" x14ac:dyDescent="0.2">
      <c r="A2" t="s">
        <v>1092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0.71495877948500175</v>
      </c>
    </row>
    <row r="8" spans="1:6" x14ac:dyDescent="0.2">
      <c r="A8" t="s">
        <v>1051</v>
      </c>
      <c r="B8">
        <v>0.51116605636268342</v>
      </c>
    </row>
    <row r="9" spans="1:6" x14ac:dyDescent="0.2">
      <c r="A9" t="s">
        <v>1052</v>
      </c>
      <c r="B9">
        <v>0.50241952456797989</v>
      </c>
    </row>
    <row r="10" spans="1:6" x14ac:dyDescent="0.2">
      <c r="A10" t="s">
        <v>1053</v>
      </c>
      <c r="B10">
        <v>6384943.6262737708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9</v>
      </c>
      <c r="C15">
        <v>2.1442863038602772E+16</v>
      </c>
      <c r="D15">
        <v>2382540337622530</v>
      </c>
      <c r="E15">
        <v>58.442142366900605</v>
      </c>
      <c r="F15">
        <v>1.4440645311234003E-72</v>
      </c>
    </row>
    <row r="16" spans="1:6" x14ac:dyDescent="0.2">
      <c r="A16" t="s">
        <v>1062</v>
      </c>
      <c r="B16">
        <v>503</v>
      </c>
      <c r="C16">
        <v>2.0506055070679108E+16</v>
      </c>
      <c r="D16">
        <v>40767505110694.055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-13004874.557531385</v>
      </c>
      <c r="C20">
        <v>2416521.1467784201</v>
      </c>
      <c r="D20">
        <v>-5.3816514599381033</v>
      </c>
      <c r="E20" s="5">
        <v>1.1336315395446362E-7</v>
      </c>
      <c r="F20">
        <v>-17752592.88548452</v>
      </c>
      <c r="G20">
        <v>-8257156.2295782482</v>
      </c>
      <c r="H20">
        <v>-17752592.88548452</v>
      </c>
      <c r="I20">
        <v>-8257156.2295782482</v>
      </c>
    </row>
    <row r="21" spans="1:9" x14ac:dyDescent="0.2">
      <c r="A21" t="s">
        <v>11</v>
      </c>
      <c r="B21">
        <v>917222.7721283565</v>
      </c>
      <c r="C21">
        <v>863993.77166617848</v>
      </c>
      <c r="D21">
        <v>1.0616080835392228</v>
      </c>
      <c r="E21">
        <v>0.28892308451089876</v>
      </c>
      <c r="F21">
        <v>-780258.36535121559</v>
      </c>
      <c r="G21">
        <v>2614703.9096079287</v>
      </c>
      <c r="H21">
        <v>-780258.36535121559</v>
      </c>
      <c r="I21">
        <v>2614703.9096079287</v>
      </c>
    </row>
    <row r="22" spans="1:9" x14ac:dyDescent="0.2">
      <c r="A22" t="s">
        <v>10</v>
      </c>
      <c r="B22">
        <v>705163.01401307841</v>
      </c>
      <c r="C22">
        <v>860753.76599701762</v>
      </c>
      <c r="D22">
        <v>0.81923895296151594</v>
      </c>
      <c r="E22">
        <v>0.41303807929715419</v>
      </c>
      <c r="F22">
        <v>-985952.5121749664</v>
      </c>
      <c r="G22">
        <v>2396278.5402011233</v>
      </c>
      <c r="H22">
        <v>-985952.5121749664</v>
      </c>
      <c r="I22">
        <v>2396278.5402011233</v>
      </c>
    </row>
    <row r="23" spans="1:9" x14ac:dyDescent="0.2">
      <c r="A23" t="s">
        <v>14</v>
      </c>
      <c r="B23">
        <v>-943630.91818742559</v>
      </c>
      <c r="C23">
        <v>703863.47685879364</v>
      </c>
      <c r="D23">
        <v>-1.3406448114038643</v>
      </c>
      <c r="E23">
        <v>0.18064095106592118</v>
      </c>
      <c r="F23">
        <v>-2326505.4417207097</v>
      </c>
      <c r="G23">
        <v>439243.60534585838</v>
      </c>
      <c r="H23">
        <v>-2326505.4417207097</v>
      </c>
      <c r="I23">
        <v>439243.60534585838</v>
      </c>
    </row>
    <row r="24" spans="1:9" x14ac:dyDescent="0.2">
      <c r="A24" t="s">
        <v>3</v>
      </c>
      <c r="B24">
        <v>654801.19529823551</v>
      </c>
      <c r="C24">
        <v>72592.834385979761</v>
      </c>
      <c r="D24">
        <v>9.0201905027791653</v>
      </c>
      <c r="E24" s="5">
        <v>3.9572447925167094E-18</v>
      </c>
      <c r="F24">
        <v>512178.67748917243</v>
      </c>
      <c r="G24">
        <v>797423.71310729859</v>
      </c>
      <c r="H24">
        <v>512178.67748917243</v>
      </c>
      <c r="I24">
        <v>797423.71310729859</v>
      </c>
    </row>
    <row r="25" spans="1:9" x14ac:dyDescent="0.2">
      <c r="A25" t="s">
        <v>15</v>
      </c>
      <c r="B25">
        <v>-7451386.0213992381</v>
      </c>
      <c r="C25">
        <v>3114224.0114852581</v>
      </c>
      <c r="D25">
        <v>-2.3926942936405751</v>
      </c>
      <c r="E25" s="5">
        <v>1.709104281614561E-2</v>
      </c>
      <c r="F25">
        <v>-13569875.171138937</v>
      </c>
      <c r="G25">
        <v>-1332896.8716595392</v>
      </c>
      <c r="H25">
        <v>-13569875.171138937</v>
      </c>
      <c r="I25">
        <v>-1332896.8716595392</v>
      </c>
    </row>
    <row r="26" spans="1:9" x14ac:dyDescent="0.2">
      <c r="A26" t="s">
        <v>13</v>
      </c>
      <c r="B26">
        <v>-4340.9726054469966</v>
      </c>
      <c r="C26">
        <v>3637.534022466607</v>
      </c>
      <c r="D26">
        <v>-1.1933833686876112</v>
      </c>
      <c r="E26">
        <v>0.23328182481247864</v>
      </c>
      <c r="F26">
        <v>-11487.604436102089</v>
      </c>
      <c r="G26">
        <v>2805.6592252080964</v>
      </c>
      <c r="H26">
        <v>-11487.604436102089</v>
      </c>
      <c r="I26">
        <v>2805.6592252080964</v>
      </c>
    </row>
    <row r="27" spans="1:9" x14ac:dyDescent="0.2">
      <c r="A27" t="s">
        <v>12</v>
      </c>
      <c r="B27">
        <v>19023.092160966786</v>
      </c>
      <c r="C27">
        <v>18279.414395734897</v>
      </c>
      <c r="D27">
        <v>1.0406838944143315</v>
      </c>
      <c r="E27">
        <v>0.29852223215347379</v>
      </c>
      <c r="F27">
        <v>-16890.31619739949</v>
      </c>
      <c r="G27">
        <v>54936.500519333065</v>
      </c>
      <c r="H27">
        <v>-16890.31619739949</v>
      </c>
      <c r="I27">
        <v>54936.500519333065</v>
      </c>
    </row>
    <row r="28" spans="1:9" x14ac:dyDescent="0.2">
      <c r="A28" t="s">
        <v>4</v>
      </c>
      <c r="B28">
        <v>14477.438711484481</v>
      </c>
      <c r="C28">
        <v>1098.5944100341753</v>
      </c>
      <c r="D28">
        <v>13.178147075256021</v>
      </c>
      <c r="E28" s="5">
        <v>2.8145414884775314E-34</v>
      </c>
      <c r="F28">
        <v>12319.039716110668</v>
      </c>
      <c r="G28">
        <v>16635.837706858296</v>
      </c>
      <c r="H28">
        <v>12319.039716110668</v>
      </c>
      <c r="I28">
        <v>16635.837706858296</v>
      </c>
    </row>
    <row r="29" spans="1:9" ht="16.5" customHeight="1" x14ac:dyDescent="0.2">
      <c r="A29" s="4" t="s">
        <v>9</v>
      </c>
      <c r="B29" s="4">
        <v>251511.99341353163</v>
      </c>
      <c r="C29" s="4">
        <v>331676.27460027678</v>
      </c>
      <c r="D29" s="4">
        <v>0.75830565124576366</v>
      </c>
      <c r="E29" s="4">
        <v>0.44862316908099309</v>
      </c>
      <c r="F29" s="4">
        <v>-400129.53265640017</v>
      </c>
      <c r="G29" s="4">
        <v>903153.51948346337</v>
      </c>
      <c r="H29" s="4">
        <v>-400129.53265640017</v>
      </c>
      <c r="I29" s="4">
        <v>903153.51948346337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zoomScale="125" zoomScaleNormal="125" workbookViewId="0"/>
  </sheetViews>
  <sheetFormatPr baseColWidth="10" defaultColWidth="10.5" defaultRowHeight="16" x14ac:dyDescent="0.2"/>
  <sheetData>
    <row r="1" spans="1:6" x14ac:dyDescent="0.2">
      <c r="A1" s="8" t="s">
        <v>1093</v>
      </c>
    </row>
    <row r="2" spans="1:6" x14ac:dyDescent="0.2">
      <c r="A2" s="9" t="s">
        <v>1094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0.71456785785351173</v>
      </c>
    </row>
    <row r="8" spans="1:6" x14ac:dyDescent="0.2">
      <c r="A8" t="s">
        <v>1051</v>
      </c>
      <c r="B8">
        <v>0.51060722347735654</v>
      </c>
    </row>
    <row r="9" spans="1:6" x14ac:dyDescent="0.2">
      <c r="A9" t="s">
        <v>1052</v>
      </c>
      <c r="B9">
        <v>0.50283908416747336</v>
      </c>
    </row>
    <row r="10" spans="1:6" x14ac:dyDescent="0.2">
      <c r="A10" t="s">
        <v>1053</v>
      </c>
      <c r="B10">
        <v>6382251.1680028019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8</v>
      </c>
      <c r="C15">
        <v>2.1419420603659424E+16</v>
      </c>
      <c r="D15">
        <v>2677427575457428</v>
      </c>
      <c r="E15">
        <v>65.730956038304129</v>
      </c>
      <c r="F15">
        <v>2.2869294138517263E-73</v>
      </c>
    </row>
    <row r="16" spans="1:6" x14ac:dyDescent="0.2">
      <c r="A16" t="s">
        <v>1062</v>
      </c>
      <c r="B16">
        <v>504</v>
      </c>
      <c r="C16">
        <v>2.0529497505622456E+16</v>
      </c>
      <c r="D16">
        <v>40733129971473.125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-12984929.261308525</v>
      </c>
      <c r="C20">
        <v>2415359.0398018039</v>
      </c>
      <c r="D20">
        <v>-5.3759830515193396</v>
      </c>
      <c r="E20" s="5">
        <v>1.1669267798553009E-7</v>
      </c>
      <c r="F20">
        <v>-17730341.698531456</v>
      </c>
      <c r="G20">
        <v>-8239516.8240855914</v>
      </c>
      <c r="H20">
        <v>-17730341.698531456</v>
      </c>
      <c r="I20">
        <v>-8239516.8240855914</v>
      </c>
    </row>
    <row r="21" spans="1:9" x14ac:dyDescent="0.2">
      <c r="A21" t="s">
        <v>11</v>
      </c>
      <c r="B21">
        <v>944219.10739851021</v>
      </c>
      <c r="C21">
        <v>862895.96637471928</v>
      </c>
      <c r="D21">
        <v>1.0942444329244618</v>
      </c>
      <c r="E21">
        <v>0.27437046730826897</v>
      </c>
      <c r="F21">
        <v>-751097.06853535841</v>
      </c>
      <c r="G21">
        <v>2639535.2833323791</v>
      </c>
      <c r="H21">
        <v>-751097.06853535841</v>
      </c>
      <c r="I21">
        <v>2639535.2833323791</v>
      </c>
    </row>
    <row r="22" spans="1:9" x14ac:dyDescent="0.2">
      <c r="A22" t="s">
        <v>10</v>
      </c>
      <c r="B22">
        <v>689438.42214588297</v>
      </c>
      <c r="C22">
        <v>860141.08292948408</v>
      </c>
      <c r="D22">
        <v>0.8015410911402826</v>
      </c>
      <c r="E22">
        <v>0.42319619454704793</v>
      </c>
      <c r="F22">
        <v>-1000465.2838616961</v>
      </c>
      <c r="G22">
        <v>2379342.128153462</v>
      </c>
      <c r="H22">
        <v>-1000465.2838616961</v>
      </c>
      <c r="I22">
        <v>2379342.128153462</v>
      </c>
    </row>
    <row r="23" spans="1:9" x14ac:dyDescent="0.2">
      <c r="A23" t="s">
        <v>14</v>
      </c>
      <c r="B23">
        <v>-756156.45008276147</v>
      </c>
      <c r="C23">
        <v>658738.07812819909</v>
      </c>
      <c r="D23">
        <v>-1.1478863529968939</v>
      </c>
      <c r="E23">
        <v>0.25156003775594998</v>
      </c>
      <c r="F23">
        <v>-2050367.2971286713</v>
      </c>
      <c r="G23">
        <v>538054.39696314849</v>
      </c>
      <c r="H23">
        <v>-2050367.2971286713</v>
      </c>
      <c r="I23">
        <v>538054.39696314849</v>
      </c>
    </row>
    <row r="24" spans="1:9" x14ac:dyDescent="0.2">
      <c r="A24" t="s">
        <v>3</v>
      </c>
      <c r="B24">
        <v>667402.21790823003</v>
      </c>
      <c r="C24">
        <v>70635.494180028196</v>
      </c>
      <c r="D24">
        <v>9.4485389485239057</v>
      </c>
      <c r="E24" s="5">
        <v>1.2854246885662218E-19</v>
      </c>
      <c r="F24">
        <v>528625.93369219941</v>
      </c>
      <c r="G24">
        <v>806178.50212426065</v>
      </c>
      <c r="H24">
        <v>528625.93369219941</v>
      </c>
      <c r="I24">
        <v>806178.50212426065</v>
      </c>
    </row>
    <row r="25" spans="1:9" x14ac:dyDescent="0.2">
      <c r="A25" t="s">
        <v>15</v>
      </c>
      <c r="B25">
        <v>-7438279.008243789</v>
      </c>
      <c r="C25">
        <v>3112862.8318058639</v>
      </c>
      <c r="D25">
        <v>-2.3895299633002534</v>
      </c>
      <c r="E25" s="5">
        <v>1.7236540558186238E-2</v>
      </c>
      <c r="F25">
        <v>-13554064.592913086</v>
      </c>
      <c r="G25">
        <v>-1322493.4235744921</v>
      </c>
      <c r="H25">
        <v>-13554064.592913086</v>
      </c>
      <c r="I25">
        <v>-1322493.4235744921</v>
      </c>
    </row>
    <row r="26" spans="1:9" x14ac:dyDescent="0.2">
      <c r="A26" t="s">
        <v>13</v>
      </c>
      <c r="B26">
        <v>-4144.1663704995399</v>
      </c>
      <c r="C26">
        <v>3626.7334678642178</v>
      </c>
      <c r="D26">
        <v>-1.1426718856569402</v>
      </c>
      <c r="E26">
        <v>0.25371736517390375</v>
      </c>
      <c r="F26">
        <v>-11269.544345903039</v>
      </c>
      <c r="G26">
        <v>2981.2116049039601</v>
      </c>
      <c r="H26">
        <v>-11269.544345903039</v>
      </c>
      <c r="I26">
        <v>2981.2116049039601</v>
      </c>
    </row>
    <row r="27" spans="1:9" x14ac:dyDescent="0.2">
      <c r="A27" t="s">
        <v>12</v>
      </c>
      <c r="B27">
        <v>17572.779678700837</v>
      </c>
      <c r="C27">
        <v>18171.41732667098</v>
      </c>
      <c r="D27">
        <v>0.96705608389217412</v>
      </c>
      <c r="E27">
        <v>0.33397980800099236</v>
      </c>
      <c r="F27">
        <v>-18128.276919091179</v>
      </c>
      <c r="G27">
        <v>53273.836276492853</v>
      </c>
      <c r="H27">
        <v>-18128.276919091179</v>
      </c>
      <c r="I27">
        <v>53273.836276492853</v>
      </c>
    </row>
    <row r="28" spans="1:9" ht="16.5" customHeight="1" x14ac:dyDescent="0.2">
      <c r="A28" s="4" t="s">
        <v>4</v>
      </c>
      <c r="B28" s="4">
        <v>14487.321218738469</v>
      </c>
      <c r="C28" s="4">
        <v>1098.0538753255069</v>
      </c>
      <c r="D28" s="4">
        <v>13.193634250818386</v>
      </c>
      <c r="E28" s="10">
        <v>2.3676932411956069E-34</v>
      </c>
      <c r="F28" s="4">
        <v>12329.994531134264</v>
      </c>
      <c r="G28" s="4">
        <v>16644.647906342674</v>
      </c>
      <c r="H28" s="4">
        <v>12329.994531134264</v>
      </c>
      <c r="I28" s="4">
        <v>16644.647906342674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="143" zoomScaleNormal="143" workbookViewId="0"/>
  </sheetViews>
  <sheetFormatPr baseColWidth="10" defaultColWidth="10.5" defaultRowHeight="16" x14ac:dyDescent="0.2"/>
  <sheetData>
    <row r="1" spans="1:6" x14ac:dyDescent="0.2">
      <c r="A1" s="8" t="s">
        <v>1095</v>
      </c>
    </row>
    <row r="2" spans="1:6" x14ac:dyDescent="0.2">
      <c r="A2" s="9" t="s">
        <v>1096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0.71413120345235115</v>
      </c>
    </row>
    <row r="8" spans="1:6" x14ac:dyDescent="0.2">
      <c r="A8" t="s">
        <v>1051</v>
      </c>
      <c r="B8">
        <v>0.5099833757443033</v>
      </c>
    </row>
    <row r="9" spans="1:6" x14ac:dyDescent="0.2">
      <c r="A9" t="s">
        <v>1052</v>
      </c>
      <c r="B9">
        <v>0.50319106610115505</v>
      </c>
    </row>
    <row r="10" spans="1:6" x14ac:dyDescent="0.2">
      <c r="A10" t="s">
        <v>1053</v>
      </c>
      <c r="B10">
        <v>6379991.5023825234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7</v>
      </c>
      <c r="C15">
        <v>2.1393250866192908E+16</v>
      </c>
      <c r="D15">
        <v>3056178695170415.5</v>
      </c>
      <c r="E15">
        <v>75.082468635502792</v>
      </c>
      <c r="F15">
        <v>3.4898935750359947E-74</v>
      </c>
    </row>
    <row r="16" spans="1:6" x14ac:dyDescent="0.2">
      <c r="A16" t="s">
        <v>1062</v>
      </c>
      <c r="B16">
        <v>505</v>
      </c>
      <c r="C16">
        <v>2.0555667243088972E+16</v>
      </c>
      <c r="D16">
        <v>40704291570473.211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-12332979.354761589</v>
      </c>
      <c r="C20">
        <v>2273483.1637381436</v>
      </c>
      <c r="D20">
        <v>-5.4247067018007984</v>
      </c>
      <c r="E20" s="5">
        <v>9.0194881923630507E-8</v>
      </c>
      <c r="F20">
        <v>-16799629.521193098</v>
      </c>
      <c r="G20">
        <v>-7866329.1883300794</v>
      </c>
      <c r="H20">
        <v>-16799629.521193098</v>
      </c>
      <c r="I20">
        <v>-7866329.1883300794</v>
      </c>
    </row>
    <row r="21" spans="1:9" x14ac:dyDescent="0.2">
      <c r="A21" t="s">
        <v>11</v>
      </c>
      <c r="B21">
        <v>428032.69898396754</v>
      </c>
      <c r="C21">
        <v>574133.81676499243</v>
      </c>
      <c r="D21">
        <v>0.74552776109889418</v>
      </c>
      <c r="E21">
        <v>0.45629958805800253</v>
      </c>
      <c r="F21">
        <v>-699952.30178935756</v>
      </c>
      <c r="G21">
        <v>1556017.6997572926</v>
      </c>
      <c r="H21">
        <v>-699952.30178935756</v>
      </c>
      <c r="I21">
        <v>1556017.6997572926</v>
      </c>
    </row>
    <row r="22" spans="1:9" x14ac:dyDescent="0.2">
      <c r="A22" t="s">
        <v>14</v>
      </c>
      <c r="B22">
        <v>-732546.80218478071</v>
      </c>
      <c r="C22">
        <v>657846.20881742833</v>
      </c>
      <c r="D22">
        <v>-1.1135532779031094</v>
      </c>
      <c r="E22">
        <v>0.26600061300258859</v>
      </c>
      <c r="F22">
        <v>-2024999.2491469705</v>
      </c>
      <c r="G22">
        <v>559905.64477740903</v>
      </c>
      <c r="H22">
        <v>-2024999.2491469705</v>
      </c>
      <c r="I22">
        <v>559905.64477740903</v>
      </c>
    </row>
    <row r="23" spans="1:9" x14ac:dyDescent="0.2">
      <c r="A23" t="s">
        <v>3</v>
      </c>
      <c r="B23">
        <v>659276.46598213725</v>
      </c>
      <c r="C23">
        <v>69879.476464767067</v>
      </c>
      <c r="D23">
        <v>9.4344791823754086</v>
      </c>
      <c r="E23" s="5">
        <v>1.4314868168188897E-19</v>
      </c>
      <c r="F23">
        <v>521986.17056236038</v>
      </c>
      <c r="G23">
        <v>796566.76140191406</v>
      </c>
      <c r="H23">
        <v>521986.17056236038</v>
      </c>
      <c r="I23">
        <v>796566.76140191406</v>
      </c>
    </row>
    <row r="24" spans="1:9" x14ac:dyDescent="0.2">
      <c r="A24" t="s">
        <v>15</v>
      </c>
      <c r="B24">
        <v>-7372025.7906402545</v>
      </c>
      <c r="C24">
        <v>3110663.4846111662</v>
      </c>
      <c r="D24">
        <v>-2.369920702483753</v>
      </c>
      <c r="E24" s="5">
        <v>1.8166739194643414E-2</v>
      </c>
      <c r="F24">
        <v>-13483461.227182245</v>
      </c>
      <c r="G24">
        <v>-1260590.3540982641</v>
      </c>
      <c r="H24">
        <v>-13483461.227182245</v>
      </c>
      <c r="I24">
        <v>-1260590.3540982641</v>
      </c>
    </row>
    <row r="25" spans="1:9" x14ac:dyDescent="0.2">
      <c r="A25" t="s">
        <v>13</v>
      </c>
      <c r="B25">
        <v>-4127.3438408266502</v>
      </c>
      <c r="C25">
        <v>3625.3886995576281</v>
      </c>
      <c r="D25">
        <v>-1.1384555375621574</v>
      </c>
      <c r="E25">
        <v>0.25547010115318652</v>
      </c>
      <c r="F25">
        <v>-11250.045823643322</v>
      </c>
      <c r="G25">
        <v>2995.358141990022</v>
      </c>
      <c r="H25">
        <v>-11250.045823643322</v>
      </c>
      <c r="I25">
        <v>2995.358141990022</v>
      </c>
    </row>
    <row r="26" spans="1:9" x14ac:dyDescent="0.2">
      <c r="A26" t="s">
        <v>12</v>
      </c>
      <c r="B26">
        <v>17493.359753301607</v>
      </c>
      <c r="C26">
        <v>18164.713605946712</v>
      </c>
      <c r="D26">
        <v>0.96304076864579258</v>
      </c>
      <c r="E26">
        <v>0.33598797178860573</v>
      </c>
      <c r="F26">
        <v>-18194.356058843136</v>
      </c>
      <c r="G26">
        <v>53181.07556544635</v>
      </c>
      <c r="H26">
        <v>-18194.356058843136</v>
      </c>
      <c r="I26">
        <v>53181.07556544635</v>
      </c>
    </row>
    <row r="27" spans="1:9" ht="16.5" customHeight="1" x14ac:dyDescent="0.2">
      <c r="A27" s="4" t="s">
        <v>4</v>
      </c>
      <c r="B27" s="4">
        <v>14533.900682318254</v>
      </c>
      <c r="C27" s="4">
        <v>1096.1268279015433</v>
      </c>
      <c r="D27" s="4">
        <v>13.259323932562047</v>
      </c>
      <c r="E27" s="10">
        <v>1.2126170802393501E-34</v>
      </c>
      <c r="F27" s="4">
        <v>12380.370294951643</v>
      </c>
      <c r="G27" s="4">
        <v>16687.431069684862</v>
      </c>
      <c r="H27" s="4">
        <v>12380.370294951643</v>
      </c>
      <c r="I27" s="4">
        <v>16687.431069684862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zoomScale="150" zoomScaleNormal="150" workbookViewId="0">
      <selection activeCell="A2" sqref="A2"/>
    </sheetView>
  </sheetViews>
  <sheetFormatPr baseColWidth="10" defaultColWidth="10.5" defaultRowHeight="16" x14ac:dyDescent="0.2"/>
  <sheetData>
    <row r="1" spans="1:6" x14ac:dyDescent="0.2">
      <c r="A1" s="8" t="s">
        <v>1097</v>
      </c>
    </row>
    <row r="2" spans="1:6" x14ac:dyDescent="0.2">
      <c r="A2" s="9" t="s">
        <v>1098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0.71375349740754568</v>
      </c>
    </row>
    <row r="8" spans="1:6" x14ac:dyDescent="0.2">
      <c r="A8" t="s">
        <v>1051</v>
      </c>
      <c r="B8">
        <v>0.50944405506150336</v>
      </c>
    </row>
    <row r="9" spans="1:6" x14ac:dyDescent="0.2">
      <c r="A9" t="s">
        <v>1052</v>
      </c>
      <c r="B9">
        <v>0.50362718614918922</v>
      </c>
    </row>
    <row r="10" spans="1:6" x14ac:dyDescent="0.2">
      <c r="A10" t="s">
        <v>1053</v>
      </c>
      <c r="B10">
        <v>6377190.5733781066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6</v>
      </c>
      <c r="C15">
        <v>2.1370626947035496E+16</v>
      </c>
      <c r="D15">
        <v>3561771157839249.5</v>
      </c>
      <c r="E15">
        <v>87.580459993351596</v>
      </c>
      <c r="F15">
        <v>4.6992776270684888E-75</v>
      </c>
    </row>
    <row r="16" spans="1:6" x14ac:dyDescent="0.2">
      <c r="A16" t="s">
        <v>1062</v>
      </c>
      <c r="B16">
        <v>506</v>
      </c>
      <c r="C16">
        <v>2.0578291162246384E+16</v>
      </c>
      <c r="D16">
        <v>40668559609182.578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-12088758.377276575</v>
      </c>
      <c r="C20">
        <v>2248771.4511650833</v>
      </c>
      <c r="D20">
        <v>-5.3757167590389932</v>
      </c>
      <c r="E20" s="5">
        <v>1.1666609794612905E-7</v>
      </c>
      <c r="F20">
        <v>-16506837.142634764</v>
      </c>
      <c r="G20">
        <v>-7670679.611918387</v>
      </c>
      <c r="H20">
        <v>-16506837.142634764</v>
      </c>
      <c r="I20">
        <v>-7670679.611918387</v>
      </c>
    </row>
    <row r="21" spans="1:9" x14ac:dyDescent="0.2">
      <c r="A21" t="s">
        <v>14</v>
      </c>
      <c r="B21">
        <v>-752181.06478750042</v>
      </c>
      <c r="C21">
        <v>657030.25710255466</v>
      </c>
      <c r="D21">
        <v>-1.1448195218657851</v>
      </c>
      <c r="E21">
        <v>0.25282513990947919</v>
      </c>
      <c r="F21">
        <v>-2043024.305259398</v>
      </c>
      <c r="G21">
        <v>538662.17568439723</v>
      </c>
      <c r="H21">
        <v>-2043024.305259398</v>
      </c>
      <c r="I21">
        <v>538662.17568439723</v>
      </c>
    </row>
    <row r="22" spans="1:9" x14ac:dyDescent="0.2">
      <c r="A22" t="s">
        <v>3</v>
      </c>
      <c r="B22">
        <v>654405.37342586683</v>
      </c>
      <c r="C22">
        <v>69542.80824022062</v>
      </c>
      <c r="D22">
        <v>9.4101085358153025</v>
      </c>
      <c r="E22" s="5">
        <v>1.732956995695612E-19</v>
      </c>
      <c r="F22">
        <v>517777.16951910168</v>
      </c>
      <c r="G22">
        <v>791033.57733263203</v>
      </c>
      <c r="H22">
        <v>517777.16951910168</v>
      </c>
      <c r="I22">
        <v>791033.57733263203</v>
      </c>
    </row>
    <row r="23" spans="1:9" x14ac:dyDescent="0.2">
      <c r="A23" t="s">
        <v>15</v>
      </c>
      <c r="B23">
        <v>-7263957.1285562422</v>
      </c>
      <c r="C23">
        <v>3105920.0467417096</v>
      </c>
      <c r="D23">
        <v>-2.3387456918527425</v>
      </c>
      <c r="E23" s="5">
        <v>1.9736964691375165E-2</v>
      </c>
      <c r="F23">
        <v>-13366044.291882874</v>
      </c>
      <c r="G23">
        <v>-1161869.9652296093</v>
      </c>
      <c r="H23">
        <v>-13366044.291882874</v>
      </c>
      <c r="I23">
        <v>-1161869.9652296093</v>
      </c>
    </row>
    <row r="24" spans="1:9" x14ac:dyDescent="0.2">
      <c r="A24" t="s">
        <v>13</v>
      </c>
      <c r="B24">
        <v>-4101.3777226050079</v>
      </c>
      <c r="C24">
        <v>3623.6298571719826</v>
      </c>
      <c r="D24">
        <v>-1.1318423471115446</v>
      </c>
      <c r="E24">
        <v>0.25823681909698104</v>
      </c>
      <c r="F24">
        <v>-11220.590356327739</v>
      </c>
      <c r="G24">
        <v>3017.8349111177235</v>
      </c>
      <c r="H24">
        <v>-11220.590356327739</v>
      </c>
      <c r="I24">
        <v>3017.8349111177235</v>
      </c>
    </row>
    <row r="25" spans="1:9" x14ac:dyDescent="0.2">
      <c r="A25" t="s">
        <v>12</v>
      </c>
      <c r="B25">
        <v>17202.928159287454</v>
      </c>
      <c r="C25">
        <v>18152.562973029329</v>
      </c>
      <c r="D25">
        <v>0.9476859099647349</v>
      </c>
      <c r="E25">
        <v>0.34374173847360212</v>
      </c>
      <c r="F25">
        <v>-18460.746317910765</v>
      </c>
      <c r="G25">
        <v>52866.602636485673</v>
      </c>
      <c r="H25">
        <v>-18460.746317910765</v>
      </c>
      <c r="I25">
        <v>52866.602636485673</v>
      </c>
    </row>
    <row r="26" spans="1:9" ht="16.5" customHeight="1" x14ac:dyDescent="0.2">
      <c r="A26" s="4" t="s">
        <v>4</v>
      </c>
      <c r="B26" s="4">
        <v>14571.082050866731</v>
      </c>
      <c r="C26" s="4">
        <v>1094.5109467976413</v>
      </c>
      <c r="D26" s="4">
        <v>13.312870093715661</v>
      </c>
      <c r="E26" s="10">
        <v>6.9903619130528556E-35</v>
      </c>
      <c r="F26" s="4">
        <v>12420.736549996283</v>
      </c>
      <c r="G26" s="4">
        <v>16721.427551737179</v>
      </c>
      <c r="H26" s="4">
        <v>12420.736549996283</v>
      </c>
      <c r="I26" s="4">
        <v>16721.427551737179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zoomScale="138" zoomScaleNormal="138" workbookViewId="0">
      <selection activeCell="A2" sqref="A2"/>
    </sheetView>
  </sheetViews>
  <sheetFormatPr baseColWidth="10" defaultColWidth="10.5" defaultRowHeight="16" x14ac:dyDescent="0.2"/>
  <sheetData>
    <row r="1" spans="1:6" x14ac:dyDescent="0.2">
      <c r="A1" s="8" t="s">
        <v>1099</v>
      </c>
    </row>
    <row r="2" spans="1:6" x14ac:dyDescent="0.2">
      <c r="A2" s="9" t="s">
        <v>1100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0.71314329444452984</v>
      </c>
    </row>
    <row r="8" spans="1:6" x14ac:dyDescent="0.2">
      <c r="A8" t="s">
        <v>1051</v>
      </c>
      <c r="B8">
        <v>0.50857335841119733</v>
      </c>
    </row>
    <row r="9" spans="1:6" x14ac:dyDescent="0.2">
      <c r="A9" t="s">
        <v>1052</v>
      </c>
      <c r="B9">
        <v>0.50372694182748134</v>
      </c>
    </row>
    <row r="10" spans="1:6" x14ac:dyDescent="0.2">
      <c r="A10" t="s">
        <v>1053</v>
      </c>
      <c r="B10">
        <v>6376549.7315361425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5</v>
      </c>
      <c r="C15">
        <v>2.133410216455378E+16</v>
      </c>
      <c r="D15">
        <v>4266820432910756</v>
      </c>
      <c r="E15">
        <v>104.93801959163143</v>
      </c>
      <c r="F15">
        <v>6.796975459943198E-76</v>
      </c>
    </row>
    <row r="16" spans="1:6" x14ac:dyDescent="0.2">
      <c r="A16" t="s">
        <v>1062</v>
      </c>
      <c r="B16">
        <v>507</v>
      </c>
      <c r="C16">
        <v>2.06148159447281E+16</v>
      </c>
      <c r="D16">
        <v>40660386478753.648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-12128103.989486869</v>
      </c>
      <c r="C20">
        <v>2248162.2231431878</v>
      </c>
      <c r="D20">
        <v>-5.3946747546226419</v>
      </c>
      <c r="E20" s="5">
        <v>1.0551124865605585E-7</v>
      </c>
      <c r="F20">
        <v>-16544964.939975755</v>
      </c>
      <c r="G20">
        <v>-7711243.0389979845</v>
      </c>
      <c r="H20">
        <v>-16544964.939975755</v>
      </c>
      <c r="I20">
        <v>-7711243.0389979845</v>
      </c>
    </row>
    <row r="21" spans="1:9" x14ac:dyDescent="0.2">
      <c r="A21" t="s">
        <v>14</v>
      </c>
      <c r="B21">
        <v>-808295.42294624064</v>
      </c>
      <c r="C21">
        <v>654290.95113318798</v>
      </c>
      <c r="D21">
        <v>-1.235376129757453</v>
      </c>
      <c r="E21">
        <v>0.21726269061601522</v>
      </c>
      <c r="F21">
        <v>-2093750.7706826606</v>
      </c>
      <c r="G21">
        <v>477159.9247901793</v>
      </c>
      <c r="H21">
        <v>-2093750.7706826606</v>
      </c>
      <c r="I21">
        <v>477159.9247901793</v>
      </c>
    </row>
    <row r="22" spans="1:9" x14ac:dyDescent="0.2">
      <c r="A22" t="s">
        <v>3</v>
      </c>
      <c r="B22">
        <v>651801.01411254297</v>
      </c>
      <c r="C22">
        <v>69481.505286345011</v>
      </c>
      <c r="D22">
        <v>9.3809282258114735</v>
      </c>
      <c r="E22" s="5">
        <v>2.1806305552259544E-19</v>
      </c>
      <c r="F22">
        <v>515293.89539965184</v>
      </c>
      <c r="G22">
        <v>788308.13282543409</v>
      </c>
      <c r="H22">
        <v>515293.89539965184</v>
      </c>
      <c r="I22">
        <v>788308.13282543409</v>
      </c>
    </row>
    <row r="23" spans="1:9" x14ac:dyDescent="0.2">
      <c r="A23" t="s">
        <v>15</v>
      </c>
      <c r="B23">
        <v>-6903919.1485114889</v>
      </c>
      <c r="C23">
        <v>3082287.4511913755</v>
      </c>
      <c r="D23">
        <v>-2.2398686877315628</v>
      </c>
      <c r="E23" s="5">
        <v>2.553203649757468E-2</v>
      </c>
      <c r="F23">
        <v>-12959547.581905911</v>
      </c>
      <c r="G23">
        <v>-848290.71511706756</v>
      </c>
      <c r="H23">
        <v>-12959547.581905911</v>
      </c>
      <c r="I23">
        <v>-848290.71511706756</v>
      </c>
    </row>
    <row r="24" spans="1:9" x14ac:dyDescent="0.2">
      <c r="A24" t="s">
        <v>13</v>
      </c>
      <c r="B24">
        <v>-2014.9642579649799</v>
      </c>
      <c r="C24">
        <v>2877.853540179864</v>
      </c>
      <c r="D24">
        <v>-0.70016219721836359</v>
      </c>
      <c r="E24">
        <v>0.48414716768965571</v>
      </c>
      <c r="F24">
        <v>-7668.9507861591492</v>
      </c>
      <c r="G24">
        <v>3639.022270229189</v>
      </c>
      <c r="H24">
        <v>-7668.9507861591492</v>
      </c>
      <c r="I24">
        <v>3639.022270229189</v>
      </c>
    </row>
    <row r="25" spans="1:9" ht="16.5" customHeight="1" x14ac:dyDescent="0.2">
      <c r="A25" s="4" t="s">
        <v>4</v>
      </c>
      <c r="B25" s="4">
        <v>14372.409752045487</v>
      </c>
      <c r="C25" s="4">
        <v>1074.1385469129507</v>
      </c>
      <c r="D25" s="4">
        <v>13.380405901409516</v>
      </c>
      <c r="E25" s="10">
        <v>3.5013670510039797E-35</v>
      </c>
      <c r="F25" s="4">
        <v>12262.099137252937</v>
      </c>
      <c r="G25" s="4">
        <v>16482.720366838035</v>
      </c>
      <c r="H25" s="4">
        <v>12262.099137252937</v>
      </c>
      <c r="I25" s="4">
        <v>16482.720366838035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zoomScale="125" zoomScaleNormal="125" workbookViewId="0"/>
  </sheetViews>
  <sheetFormatPr baseColWidth="10" defaultColWidth="10.5" defaultRowHeight="16" x14ac:dyDescent="0.2"/>
  <sheetData>
    <row r="1" spans="1:6" x14ac:dyDescent="0.2">
      <c r="A1" s="8" t="s">
        <v>1101</v>
      </c>
    </row>
    <row r="2" spans="1:6" x14ac:dyDescent="0.2">
      <c r="A2" s="9" t="s">
        <v>1102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0.71281006548688197</v>
      </c>
    </row>
    <row r="8" spans="1:6" x14ac:dyDescent="0.2">
      <c r="A8" t="s">
        <v>1051</v>
      </c>
      <c r="B8">
        <v>0.50809818945941299</v>
      </c>
    </row>
    <row r="9" spans="1:6" x14ac:dyDescent="0.2">
      <c r="A9" t="s">
        <v>1052</v>
      </c>
      <c r="B9">
        <v>0.50422494685673125</v>
      </c>
    </row>
    <row r="10" spans="1:6" x14ac:dyDescent="0.2">
      <c r="A10" t="s">
        <v>1053</v>
      </c>
      <c r="B10">
        <v>6373349.5266868919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4</v>
      </c>
      <c r="C15">
        <v>2.1314169341107304E+16</v>
      </c>
      <c r="D15">
        <v>5328542335276826</v>
      </c>
      <c r="E15">
        <v>131.18160713909626</v>
      </c>
      <c r="F15">
        <v>7.0999041104811314E-77</v>
      </c>
    </row>
    <row r="16" spans="1:6" x14ac:dyDescent="0.2">
      <c r="A16" t="s">
        <v>1062</v>
      </c>
      <c r="B16">
        <v>508</v>
      </c>
      <c r="C16">
        <v>2.0634748768174576E+16</v>
      </c>
      <c r="D16">
        <v>40619584189320.031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-12159819.563823558</v>
      </c>
      <c r="C20">
        <v>2246577.7768862844</v>
      </c>
      <c r="D20">
        <v>-5.4125967455606387</v>
      </c>
      <c r="E20" s="5">
        <v>9.5916756037514242E-8</v>
      </c>
      <c r="F20">
        <v>-16573546.835764203</v>
      </c>
      <c r="G20">
        <v>-7746092.2918829136</v>
      </c>
      <c r="H20">
        <v>-16573546.835764203</v>
      </c>
      <c r="I20">
        <v>-7746092.2918829136</v>
      </c>
    </row>
    <row r="21" spans="1:9" x14ac:dyDescent="0.2">
      <c r="A21" t="s">
        <v>14</v>
      </c>
      <c r="B21">
        <v>-610481.61010815506</v>
      </c>
      <c r="C21">
        <v>589852.85273331869</v>
      </c>
      <c r="D21">
        <v>-1.0349727178214783</v>
      </c>
      <c r="E21">
        <v>0.30117407830685411</v>
      </c>
      <c r="F21">
        <v>-1769332.9302477904</v>
      </c>
      <c r="G21">
        <v>548369.71003148018</v>
      </c>
      <c r="H21">
        <v>-1769332.9302477904</v>
      </c>
      <c r="I21">
        <v>548369.71003148018</v>
      </c>
    </row>
    <row r="22" spans="1:9" x14ac:dyDescent="0.2">
      <c r="A22" t="s">
        <v>3</v>
      </c>
      <c r="B22">
        <v>651027.82177771057</v>
      </c>
      <c r="C22">
        <v>69437.86275503294</v>
      </c>
      <c r="D22">
        <v>9.3756892269919891</v>
      </c>
      <c r="E22" s="5">
        <v>2.260871217005526E-19</v>
      </c>
      <c r="F22">
        <v>514607.08811767417</v>
      </c>
      <c r="G22">
        <v>787448.55543774692</v>
      </c>
      <c r="H22">
        <v>514607.08811767417</v>
      </c>
      <c r="I22">
        <v>787448.55543774692</v>
      </c>
    </row>
    <row r="23" spans="1:9" x14ac:dyDescent="0.2">
      <c r="A23" t="s">
        <v>15</v>
      </c>
      <c r="B23">
        <v>-7179752.7903911639</v>
      </c>
      <c r="C23">
        <v>3055473.1355023514</v>
      </c>
      <c r="D23">
        <v>-2.3498006599919714</v>
      </c>
      <c r="E23" s="5">
        <v>1.9165256266233211E-2</v>
      </c>
      <c r="F23">
        <v>-13182672.095299497</v>
      </c>
      <c r="G23">
        <v>-1176833.4854828313</v>
      </c>
      <c r="H23">
        <v>-13182672.095299497</v>
      </c>
      <c r="I23">
        <v>-1176833.4854828313</v>
      </c>
    </row>
    <row r="24" spans="1:9" ht="16.5" customHeight="1" x14ac:dyDescent="0.2">
      <c r="A24" s="4" t="s">
        <v>4</v>
      </c>
      <c r="B24" s="4">
        <v>13811.461855227633</v>
      </c>
      <c r="C24" s="4">
        <v>715.11465130352428</v>
      </c>
      <c r="D24" s="4">
        <v>19.313632897958172</v>
      </c>
      <c r="E24" s="10">
        <v>9.9475739744671965E-63</v>
      </c>
      <c r="F24" s="4">
        <v>12406.515598082113</v>
      </c>
      <c r="G24" s="4">
        <v>15216.408112373154</v>
      </c>
      <c r="H24" s="4">
        <v>12406.515598082113</v>
      </c>
      <c r="I24" s="4">
        <v>15216.408112373154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zoomScale="142" zoomScaleNormal="142" workbookViewId="0">
      <selection activeCell="J23" sqref="J23"/>
    </sheetView>
  </sheetViews>
  <sheetFormatPr baseColWidth="10" defaultColWidth="10.5" defaultRowHeight="16" x14ac:dyDescent="0.2"/>
  <sheetData>
    <row r="1" spans="1:6" x14ac:dyDescent="0.2">
      <c r="A1" s="8" t="s">
        <v>1103</v>
      </c>
    </row>
    <row r="2" spans="1:6" x14ac:dyDescent="0.2">
      <c r="A2" s="9" t="s">
        <v>1104</v>
      </c>
    </row>
    <row r="4" spans="1:6" x14ac:dyDescent="0.2">
      <c r="A4" t="s">
        <v>1048</v>
      </c>
    </row>
    <row r="5" spans="1:6" ht="16.5" customHeight="1" x14ac:dyDescent="0.2"/>
    <row r="6" spans="1:6" x14ac:dyDescent="0.2">
      <c r="A6" s="18" t="s">
        <v>1049</v>
      </c>
      <c r="B6" s="18"/>
    </row>
    <row r="7" spans="1:6" x14ac:dyDescent="0.2">
      <c r="A7" t="s">
        <v>1050</v>
      </c>
      <c r="B7">
        <v>0.71208213400309983</v>
      </c>
    </row>
    <row r="8" spans="1:6" x14ac:dyDescent="0.2">
      <c r="A8" t="s">
        <v>1051</v>
      </c>
      <c r="B8">
        <v>0.50706096556640867</v>
      </c>
    </row>
    <row r="9" spans="1:6" x14ac:dyDescent="0.2">
      <c r="A9" t="s">
        <v>1052</v>
      </c>
      <c r="B9">
        <v>0.50415562744597497</v>
      </c>
    </row>
    <row r="10" spans="1:6" x14ac:dyDescent="0.2">
      <c r="A10" t="s">
        <v>1053</v>
      </c>
      <c r="B10">
        <v>6373795.0728967832</v>
      </c>
    </row>
    <row r="11" spans="1:6" ht="16.5" customHeight="1" x14ac:dyDescent="0.2">
      <c r="A11" s="4" t="s">
        <v>1054</v>
      </c>
      <c r="B11" s="4">
        <v>513</v>
      </c>
    </row>
    <row r="13" spans="1:6" ht="16.5" customHeight="1" x14ac:dyDescent="0.2">
      <c r="A13" t="s">
        <v>1055</v>
      </c>
    </row>
    <row r="14" spans="1:6" x14ac:dyDescent="0.2">
      <c r="A14" s="3"/>
      <c r="B14" s="3" t="s">
        <v>1056</v>
      </c>
      <c r="C14" s="3" t="s">
        <v>1057</v>
      </c>
      <c r="D14" s="3" t="s">
        <v>1058</v>
      </c>
      <c r="E14" s="3" t="s">
        <v>1059</v>
      </c>
      <c r="F14" s="3" t="s">
        <v>1060</v>
      </c>
    </row>
    <row r="15" spans="1:6" x14ac:dyDescent="0.2">
      <c r="A15" t="s">
        <v>1061</v>
      </c>
      <c r="B15">
        <v>3</v>
      </c>
      <c r="C15">
        <v>2.1270658920958676E+16</v>
      </c>
      <c r="D15">
        <v>7090219640319559</v>
      </c>
      <c r="E15">
        <v>174.52735087877107</v>
      </c>
      <c r="F15">
        <v>8.4171287450546281E-78</v>
      </c>
    </row>
    <row r="16" spans="1:6" x14ac:dyDescent="0.2">
      <c r="A16" t="s">
        <v>1062</v>
      </c>
      <c r="B16">
        <v>509</v>
      </c>
      <c r="C16">
        <v>2.0678259188323204E+16</v>
      </c>
      <c r="D16">
        <v>40625263631283.305</v>
      </c>
    </row>
    <row r="17" spans="1:9" ht="16.5" customHeight="1" x14ac:dyDescent="0.2">
      <c r="A17" s="4" t="s">
        <v>1063</v>
      </c>
      <c r="B17" s="4">
        <v>512</v>
      </c>
      <c r="C17" s="4">
        <v>4.194891810928188E+16</v>
      </c>
      <c r="D17" s="4"/>
      <c r="E17" s="4"/>
      <c r="F17" s="4"/>
    </row>
    <row r="18" spans="1:9" ht="16.5" customHeight="1" x14ac:dyDescent="0.2"/>
    <row r="19" spans="1:9" x14ac:dyDescent="0.2">
      <c r="A19" s="3"/>
      <c r="B19" s="3" t="s">
        <v>1064</v>
      </c>
      <c r="C19" s="3" t="s">
        <v>1053</v>
      </c>
      <c r="D19" s="3" t="s">
        <v>1065</v>
      </c>
      <c r="E19" s="3" t="s">
        <v>1066</v>
      </c>
      <c r="F19" s="3" t="s">
        <v>1067</v>
      </c>
      <c r="G19" s="3" t="s">
        <v>1068</v>
      </c>
      <c r="H19" s="3" t="s">
        <v>1069</v>
      </c>
      <c r="I19" s="3" t="s">
        <v>1070</v>
      </c>
    </row>
    <row r="20" spans="1:9" x14ac:dyDescent="0.2">
      <c r="A20" t="s">
        <v>1071</v>
      </c>
      <c r="B20">
        <v>-12821994.590722488</v>
      </c>
      <c r="C20">
        <v>2153698.3916253415</v>
      </c>
      <c r="D20">
        <v>-5.9534773488157988</v>
      </c>
      <c r="E20" s="5">
        <v>4.8947158460206481E-9</v>
      </c>
      <c r="F20">
        <v>-17053227.012654353</v>
      </c>
      <c r="G20">
        <v>-8590762.1687906254</v>
      </c>
      <c r="H20">
        <v>-17053227.012654353</v>
      </c>
      <c r="I20">
        <v>-8590762.1687906254</v>
      </c>
    </row>
    <row r="21" spans="1:9" x14ac:dyDescent="0.2">
      <c r="A21" t="s">
        <v>3</v>
      </c>
      <c r="B21">
        <v>653623.0072157993</v>
      </c>
      <c r="C21">
        <v>69397.424666808045</v>
      </c>
      <c r="D21">
        <v>9.4185484598885889</v>
      </c>
      <c r="E21" s="5">
        <v>1.5881593588802051E-19</v>
      </c>
      <c r="F21">
        <v>517282.35970889742</v>
      </c>
      <c r="G21">
        <v>789963.65472270118</v>
      </c>
      <c r="H21">
        <v>517282.35970889742</v>
      </c>
      <c r="I21">
        <v>789963.65472270118</v>
      </c>
    </row>
    <row r="22" spans="1:9" x14ac:dyDescent="0.2">
      <c r="A22" t="s">
        <v>15</v>
      </c>
      <c r="B22">
        <v>-6425467.5839854442</v>
      </c>
      <c r="C22">
        <v>2967490.8299976857</v>
      </c>
      <c r="D22">
        <v>-2.1652864160629792</v>
      </c>
      <c r="E22" s="5">
        <v>3.0829616468005337E-2</v>
      </c>
      <c r="F22">
        <v>-12255505.559821002</v>
      </c>
      <c r="G22">
        <v>-595429.60814988601</v>
      </c>
      <c r="H22">
        <v>-12255505.559821002</v>
      </c>
      <c r="I22">
        <v>-595429.60814988601</v>
      </c>
    </row>
    <row r="23" spans="1:9" ht="16.5" customHeight="1" x14ac:dyDescent="0.2">
      <c r="A23" s="4" t="s">
        <v>4</v>
      </c>
      <c r="B23" s="4">
        <v>13690.548787690712</v>
      </c>
      <c r="C23" s="4">
        <v>705.55647600407644</v>
      </c>
      <c r="D23" s="4">
        <v>19.403902101823544</v>
      </c>
      <c r="E23" s="10">
        <v>3.401692325816863E-63</v>
      </c>
      <c r="F23" s="4">
        <v>12304.387453131951</v>
      </c>
      <c r="G23" s="4">
        <v>15076.710122249473</v>
      </c>
      <c r="H23" s="4">
        <v>12304.387453131951</v>
      </c>
      <c r="I23" s="4">
        <v>15076.710122249473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4"/>
  <sheetViews>
    <sheetView tabSelected="1" zoomScale="134" zoomScaleNormal="134" workbookViewId="0">
      <selection activeCell="A46" sqref="A46"/>
    </sheetView>
  </sheetViews>
  <sheetFormatPr baseColWidth="10" defaultColWidth="10.5" defaultRowHeight="16" x14ac:dyDescent="0.2"/>
  <cols>
    <col min="1" max="1" width="15" customWidth="1"/>
    <col min="2" max="2" width="11" bestFit="1" customWidth="1"/>
    <col min="3" max="4" width="12.1640625" bestFit="1" customWidth="1"/>
    <col min="5" max="9" width="11" bestFit="1" customWidth="1"/>
  </cols>
  <sheetData>
    <row r="1" spans="1:2" x14ac:dyDescent="0.2">
      <c r="A1" s="6" t="s">
        <v>1105</v>
      </c>
    </row>
    <row r="2" spans="1:2" x14ac:dyDescent="0.2">
      <c r="A2" t="s">
        <v>1106</v>
      </c>
    </row>
    <row r="3" spans="1:2" x14ac:dyDescent="0.2">
      <c r="A3" t="s">
        <v>1107</v>
      </c>
    </row>
    <row r="4" spans="1:2" x14ac:dyDescent="0.2">
      <c r="A4" t="s">
        <v>1108</v>
      </c>
    </row>
    <row r="5" spans="1:2" x14ac:dyDescent="0.2">
      <c r="A5" t="s">
        <v>1109</v>
      </c>
    </row>
    <row r="6" spans="1:2" x14ac:dyDescent="0.2">
      <c r="A6" t="s">
        <v>1110</v>
      </c>
    </row>
    <row r="7" spans="1:2" x14ac:dyDescent="0.2">
      <c r="A7" t="s">
        <v>1111</v>
      </c>
    </row>
    <row r="8" spans="1:2" x14ac:dyDescent="0.2">
      <c r="A8" t="s">
        <v>1112</v>
      </c>
    </row>
    <row r="10" spans="1:2" x14ac:dyDescent="0.2">
      <c r="A10" t="s">
        <v>1048</v>
      </c>
    </row>
    <row r="11" spans="1:2" ht="16.5" customHeight="1" x14ac:dyDescent="0.2"/>
    <row r="12" spans="1:2" x14ac:dyDescent="0.2">
      <c r="A12" s="18" t="s">
        <v>1049</v>
      </c>
      <c r="B12" s="18"/>
    </row>
    <row r="13" spans="1:2" x14ac:dyDescent="0.2">
      <c r="A13" t="s">
        <v>1050</v>
      </c>
      <c r="B13">
        <v>0.70888676101866455</v>
      </c>
    </row>
    <row r="14" spans="1:2" x14ac:dyDescent="0.2">
      <c r="A14" t="s">
        <v>1051</v>
      </c>
      <c r="B14">
        <v>0.50252043994753315</v>
      </c>
    </row>
    <row r="15" spans="1:2" x14ac:dyDescent="0.2">
      <c r="A15" t="s">
        <v>1052</v>
      </c>
      <c r="B15">
        <v>0.50056953971203333</v>
      </c>
    </row>
    <row r="16" spans="1:2" x14ac:dyDescent="0.2">
      <c r="A16" t="s">
        <v>1053</v>
      </c>
      <c r="B16">
        <v>6396802.1002045535</v>
      </c>
    </row>
    <row r="17" spans="1:9" ht="16.5" customHeight="1" x14ac:dyDescent="0.2">
      <c r="A17" s="4" t="s">
        <v>1054</v>
      </c>
      <c r="B17" s="4">
        <v>513</v>
      </c>
    </row>
    <row r="19" spans="1:9" ht="16.5" customHeight="1" x14ac:dyDescent="0.2">
      <c r="A19" t="s">
        <v>1055</v>
      </c>
    </row>
    <row r="20" spans="1:9" x14ac:dyDescent="0.2">
      <c r="A20" s="3"/>
      <c r="B20" s="3" t="s">
        <v>1056</v>
      </c>
      <c r="C20" s="3" t="s">
        <v>1057</v>
      </c>
      <c r="D20" s="3" t="s">
        <v>1058</v>
      </c>
      <c r="E20" s="3" t="s">
        <v>1059</v>
      </c>
      <c r="F20" s="3" t="s">
        <v>1060</v>
      </c>
    </row>
    <row r="21" spans="1:9" x14ac:dyDescent="0.2">
      <c r="A21" t="s">
        <v>1061</v>
      </c>
      <c r="B21">
        <v>2</v>
      </c>
      <c r="C21">
        <v>2.1080188783599372E+16</v>
      </c>
      <c r="D21">
        <v>1.0540094391799686E+16</v>
      </c>
      <c r="E21">
        <v>257.58387374368976</v>
      </c>
      <c r="F21">
        <v>4.760873089047292E-78</v>
      </c>
    </row>
    <row r="22" spans="1:9" x14ac:dyDescent="0.2">
      <c r="A22" t="s">
        <v>1062</v>
      </c>
      <c r="B22">
        <v>510</v>
      </c>
      <c r="C22">
        <v>2.0868729325682508E+16</v>
      </c>
      <c r="D22">
        <v>40919077109181.391</v>
      </c>
    </row>
    <row r="23" spans="1:9" ht="16.5" customHeight="1" x14ac:dyDescent="0.2">
      <c r="A23" s="4" t="s">
        <v>1063</v>
      </c>
      <c r="B23" s="4">
        <v>512</v>
      </c>
      <c r="C23" s="4">
        <v>4.194891810928188E+16</v>
      </c>
      <c r="D23" s="4"/>
      <c r="E23" s="4"/>
      <c r="F23" s="4"/>
    </row>
    <row r="24" spans="1:9" ht="16.5" customHeight="1" x14ac:dyDescent="0.2"/>
    <row r="25" spans="1:9" x14ac:dyDescent="0.2">
      <c r="A25" s="3"/>
      <c r="B25" s="3" t="s">
        <v>1064</v>
      </c>
      <c r="C25" s="3" t="s">
        <v>1053</v>
      </c>
      <c r="D25" s="3" t="s">
        <v>1065</v>
      </c>
      <c r="E25" s="3" t="s">
        <v>1066</v>
      </c>
      <c r="F25" s="3" t="s">
        <v>1067</v>
      </c>
      <c r="G25" s="3" t="s">
        <v>1068</v>
      </c>
      <c r="H25" s="3" t="s">
        <v>1069</v>
      </c>
      <c r="I25" s="3" t="s">
        <v>1070</v>
      </c>
    </row>
    <row r="26" spans="1:9" x14ac:dyDescent="0.2">
      <c r="A26" t="s">
        <v>1071</v>
      </c>
      <c r="B26">
        <v>-15469340.580714237</v>
      </c>
      <c r="C26">
        <v>1779417.2888614829</v>
      </c>
      <c r="D26">
        <v>-8.6934867259898994</v>
      </c>
      <c r="E26" s="5">
        <v>4.8252462800990724E-17</v>
      </c>
      <c r="F26">
        <v>-18965230.705441579</v>
      </c>
      <c r="G26">
        <v>-11973450.455986893</v>
      </c>
      <c r="H26">
        <v>-18965230.705441579</v>
      </c>
      <c r="I26">
        <v>-11973450.455986893</v>
      </c>
    </row>
    <row r="27" spans="1:9" x14ac:dyDescent="0.2">
      <c r="A27" t="s">
        <v>3</v>
      </c>
      <c r="B27">
        <v>633653.6006245499</v>
      </c>
      <c r="C27">
        <v>69030.161208204066</v>
      </c>
      <c r="D27">
        <v>9.1793730383066485</v>
      </c>
      <c r="E27" s="5">
        <v>1.0798130527965757E-18</v>
      </c>
      <c r="F27">
        <v>498035.12575264333</v>
      </c>
      <c r="G27">
        <v>769272.07549645647</v>
      </c>
      <c r="H27">
        <v>498035.12575264333</v>
      </c>
      <c r="I27">
        <v>769272.07549645647</v>
      </c>
    </row>
    <row r="28" spans="1:9" ht="16.5" customHeight="1" x14ac:dyDescent="0.2">
      <c r="A28" s="4" t="s">
        <v>4</v>
      </c>
      <c r="B28" s="4">
        <v>13308.466429472392</v>
      </c>
      <c r="C28" s="4">
        <v>685.60016258472103</v>
      </c>
      <c r="D28" s="4">
        <v>19.411410842289346</v>
      </c>
      <c r="E28" s="10">
        <v>2.9318703407775633E-63</v>
      </c>
      <c r="F28" s="4">
        <v>11961.518272401876</v>
      </c>
      <c r="G28" s="4">
        <v>14655.414586542907</v>
      </c>
      <c r="H28" s="4">
        <v>11961.518272401876</v>
      </c>
      <c r="I28" s="4">
        <v>14655.414586542907</v>
      </c>
    </row>
    <row r="30" spans="1:9" x14ac:dyDescent="0.2">
      <c r="A30" s="6" t="s">
        <v>1072</v>
      </c>
    </row>
    <row r="31" spans="1:9" x14ac:dyDescent="0.2">
      <c r="A31" t="s">
        <v>1113</v>
      </c>
      <c r="B31">
        <f>B14</f>
        <v>0.50252043994753315</v>
      </c>
      <c r="D31" t="s">
        <v>1114</v>
      </c>
    </row>
    <row r="32" spans="1:9" x14ac:dyDescent="0.2">
      <c r="A32" t="s">
        <v>1075</v>
      </c>
      <c r="B32">
        <f>B15</f>
        <v>0.50056953971203333</v>
      </c>
      <c r="D32" t="s">
        <v>1115</v>
      </c>
    </row>
    <row r="34" spans="1:4" x14ac:dyDescent="0.2">
      <c r="A34" t="s">
        <v>1071</v>
      </c>
      <c r="B34">
        <v>-15469340.580714237</v>
      </c>
      <c r="D34" t="s">
        <v>1116</v>
      </c>
    </row>
    <row r="35" spans="1:4" x14ac:dyDescent="0.2">
      <c r="A35" t="s">
        <v>3</v>
      </c>
      <c r="B35">
        <v>633653.6006245499</v>
      </c>
      <c r="D35" t="s">
        <v>1117</v>
      </c>
    </row>
    <row r="36" spans="1:4" x14ac:dyDescent="0.2">
      <c r="A36" t="s">
        <v>4</v>
      </c>
      <c r="B36">
        <v>13308.466429472392</v>
      </c>
      <c r="D36" t="s">
        <v>1118</v>
      </c>
    </row>
    <row r="38" spans="1:4" x14ac:dyDescent="0.2">
      <c r="A38" t="s">
        <v>1119</v>
      </c>
    </row>
    <row r="39" spans="1:4" x14ac:dyDescent="0.2">
      <c r="A39" t="s">
        <v>1120</v>
      </c>
    </row>
    <row r="40" spans="1:4" x14ac:dyDescent="0.2">
      <c r="A40" t="s">
        <v>1121</v>
      </c>
    </row>
    <row r="42" spans="1:4" x14ac:dyDescent="0.2">
      <c r="A42" t="s">
        <v>1122</v>
      </c>
    </row>
    <row r="43" spans="1:4" x14ac:dyDescent="0.2">
      <c r="A43" t="s">
        <v>1123</v>
      </c>
    </row>
    <row r="44" spans="1:4" x14ac:dyDescent="0.2">
      <c r="A44" t="s">
        <v>1124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zoomScaleNormal="100" workbookViewId="0"/>
  </sheetViews>
  <sheetFormatPr baseColWidth="10" defaultColWidth="8.5" defaultRowHeight="16" x14ac:dyDescent="0.2"/>
  <cols>
    <col min="1" max="1" width="15" customWidth="1"/>
    <col min="2" max="2" width="18" customWidth="1"/>
    <col min="3" max="8" width="13" customWidth="1"/>
  </cols>
  <sheetData>
    <row r="1" spans="1:8" x14ac:dyDescent="0.2">
      <c r="A1" s="11" t="s">
        <v>1125</v>
      </c>
    </row>
    <row r="2" spans="1:8" x14ac:dyDescent="0.2">
      <c r="A2" s="12" t="s">
        <v>1126</v>
      </c>
    </row>
    <row r="3" spans="1:8" x14ac:dyDescent="0.2">
      <c r="A3" s="12" t="s">
        <v>1127</v>
      </c>
    </row>
    <row r="4" spans="1:8" x14ac:dyDescent="0.2">
      <c r="A4" s="12" t="s">
        <v>1128</v>
      </c>
    </row>
    <row r="6" spans="1:8" x14ac:dyDescent="0.2">
      <c r="A6" s="13"/>
      <c r="B6" s="13" t="s">
        <v>3</v>
      </c>
      <c r="C6" s="13" t="s">
        <v>4</v>
      </c>
      <c r="D6" s="13" t="s">
        <v>8</v>
      </c>
      <c r="E6" s="13" t="s">
        <v>9</v>
      </c>
      <c r="F6" s="13" t="s">
        <v>12</v>
      </c>
      <c r="G6" s="13" t="s">
        <v>13</v>
      </c>
      <c r="H6" s="13" t="s">
        <v>15</v>
      </c>
    </row>
    <row r="7" spans="1:8" x14ac:dyDescent="0.2">
      <c r="A7" s="12" t="s">
        <v>3</v>
      </c>
      <c r="B7" s="14">
        <v>1</v>
      </c>
      <c r="C7" s="12"/>
      <c r="D7" s="12"/>
      <c r="E7" s="12"/>
      <c r="F7" s="12"/>
      <c r="G7" s="12"/>
      <c r="H7" s="12"/>
    </row>
    <row r="8" spans="1:8" x14ac:dyDescent="0.2">
      <c r="A8" s="12" t="s">
        <v>4</v>
      </c>
      <c r="B8" s="14">
        <f>CORREL(Data!$E$2:$E$514,Data!$D$2:$D$514)</f>
        <v>0.12809876251269095</v>
      </c>
      <c r="C8" s="14">
        <v>1</v>
      </c>
      <c r="D8" s="12"/>
      <c r="E8" s="12"/>
      <c r="F8" s="12"/>
      <c r="G8" s="12"/>
      <c r="H8" s="12"/>
    </row>
    <row r="9" spans="1:8" x14ac:dyDescent="0.2">
      <c r="A9" s="12" t="s">
        <v>8</v>
      </c>
      <c r="B9" s="14">
        <f>CORREL(Data!$I$2:$I$514,Data!$D$2:$D$514)</f>
        <v>0.17049323288165841</v>
      </c>
      <c r="C9" s="15">
        <f>CORREL(Data!$I$2:$I$514,Data!$E$2:$E$514)</f>
        <v>0.74651387832226279</v>
      </c>
      <c r="D9" s="14">
        <v>1</v>
      </c>
      <c r="E9" s="12"/>
      <c r="F9" s="12"/>
      <c r="G9" s="12"/>
      <c r="H9" s="12"/>
    </row>
    <row r="10" spans="1:8" x14ac:dyDescent="0.2">
      <c r="A10" s="12" t="s">
        <v>9</v>
      </c>
      <c r="B10" s="14">
        <f>CORREL(Data!$J$2:$J$514,Data!$D$2:$D$514)</f>
        <v>0.20159897714739949</v>
      </c>
      <c r="C10" s="14">
        <f>CORREL(Data!$J$2:$J$514,Data!$E$2:$E$514)</f>
        <v>0.12376702541181719</v>
      </c>
      <c r="D10" s="14">
        <f>CORREL(Data!$J$2:$J$514,Data!$I$2:$I$514)</f>
        <v>0.28501514134975775</v>
      </c>
      <c r="E10" s="14">
        <v>1</v>
      </c>
      <c r="F10" s="12"/>
      <c r="G10" s="12"/>
      <c r="H10" s="12"/>
    </row>
    <row r="11" spans="1:8" x14ac:dyDescent="0.2">
      <c r="A11" s="12" t="s">
        <v>12</v>
      </c>
      <c r="B11" s="14">
        <f>CORREL(Data!$M$2:$M$514,Data!$D$2:$D$514)</f>
        <v>7.4729438514914495E-2</v>
      </c>
      <c r="C11" s="14">
        <f>CORREL(Data!$M$2:$M$514,Data!$E$2:$E$514)</f>
        <v>0.4019506595340418</v>
      </c>
      <c r="D11" s="14">
        <f>CORREL(Data!$M$2:$M$514,Data!$I$2:$I$514)</f>
        <v>0.40443886723540573</v>
      </c>
      <c r="E11" s="14">
        <f>CORREL(Data!$M$2:$M$514,Data!$J$2:$J$514)</f>
        <v>-0.14047370898163103</v>
      </c>
      <c r="F11" s="14">
        <v>1</v>
      </c>
      <c r="G11" s="12"/>
      <c r="H11" s="12"/>
    </row>
    <row r="12" spans="1:8" x14ac:dyDescent="0.2">
      <c r="A12" s="12" t="s">
        <v>13</v>
      </c>
      <c r="B12" s="14">
        <f>CORREL(Data!$N$2:$N$514,Data!$D$2:$D$514)</f>
        <v>0.13261020907830218</v>
      </c>
      <c r="C12" s="15">
        <f>CORREL(Data!$N$2:$N$514,Data!$E$2:$E$514)</f>
        <v>0.71765193326455889</v>
      </c>
      <c r="D12" s="14">
        <f>CORREL(Data!$N$2:$N$514,Data!$I$2:$I$514)</f>
        <v>0.6257578286773563</v>
      </c>
      <c r="E12" s="14">
        <f>CORREL(Data!$N$2:$N$514,Data!$J$2:$J$514)</f>
        <v>-2.1913824827333683E-2</v>
      </c>
      <c r="F12" s="15">
        <f>CORREL(Data!$N$2:$N$514,Data!$M$2:$M$514)</f>
        <v>0.72340817631145427</v>
      </c>
      <c r="G12" s="14">
        <v>1</v>
      </c>
      <c r="H12" s="12"/>
    </row>
    <row r="13" spans="1:8" x14ac:dyDescent="0.2">
      <c r="A13" s="16" t="s">
        <v>15</v>
      </c>
      <c r="B13" s="17">
        <f>CORREL(Data!$P$2:$P$514,Data!$D$2:$D$514)</f>
        <v>0.16107326593304042</v>
      </c>
      <c r="C13" s="17">
        <f>CORREL(Data!$P$2:$P$514,Data!$E$2:$E$514)</f>
        <v>0.26543186368653177</v>
      </c>
      <c r="D13" s="17">
        <f>CORREL(Data!$P$2:$P$514,Data!$I$2:$I$514)</f>
        <v>0.21585545689976973</v>
      </c>
      <c r="E13" s="17">
        <f>CORREL(Data!$P$2:$P$514,Data!$J$2:$J$514)</f>
        <v>-3.3026401206981568E-2</v>
      </c>
      <c r="F13" s="17">
        <f>CORREL(Data!$P$2:$P$514,Data!$M$2:$M$514)</f>
        <v>0.32681182517202584</v>
      </c>
      <c r="G13" s="17">
        <f>CORREL(Data!$P$2:$P$514,Data!$N$2:$N$514)</f>
        <v>0.34202833592911913</v>
      </c>
      <c r="H13" s="17">
        <v>1</v>
      </c>
    </row>
    <row r="15" spans="1:8" x14ac:dyDescent="0.2">
      <c r="A15" s="11" t="s">
        <v>1129</v>
      </c>
    </row>
    <row r="16" spans="1:8" x14ac:dyDescent="0.2">
      <c r="A16" s="13"/>
      <c r="B16" s="13" t="s">
        <v>1130</v>
      </c>
    </row>
    <row r="17" spans="1:2" x14ac:dyDescent="0.2">
      <c r="A17" s="12" t="s">
        <v>3</v>
      </c>
      <c r="B17" s="14">
        <f>CORREL(Data!$F$2:$F$514,Data!$D$2:$D$514)</f>
        <v>0.36737996021990016</v>
      </c>
    </row>
    <row r="18" spans="1:2" x14ac:dyDescent="0.2">
      <c r="A18" s="12" t="s">
        <v>4</v>
      </c>
      <c r="B18" s="14">
        <f>CORREL(Data!$F$2:$F$514,Data!$E$2:$E$514)</f>
        <v>0.64832719014678009</v>
      </c>
    </row>
    <row r="19" spans="1:2" x14ac:dyDescent="0.2">
      <c r="A19" s="12" t="s">
        <v>8</v>
      </c>
      <c r="B19" s="14">
        <f>CORREL(Data!$F$2:$F$514,Data!$I$2:$I$514)</f>
        <v>0.49477081044851906</v>
      </c>
    </row>
    <row r="20" spans="1:2" x14ac:dyDescent="0.2">
      <c r="A20" s="12" t="s">
        <v>9</v>
      </c>
      <c r="B20" s="14">
        <f>CORREL(Data!$F$2:$F$514,Data!$J$2:$J$514)</f>
        <v>0.14757638755608554</v>
      </c>
    </row>
    <row r="21" spans="1:2" x14ac:dyDescent="0.2">
      <c r="A21" s="12" t="s">
        <v>12</v>
      </c>
      <c r="B21" s="14">
        <f>CORREL(Data!$F$2:$F$514,Data!$M$2:$M$514)</f>
        <v>0.27040109442665727</v>
      </c>
    </row>
    <row r="22" spans="1:2" x14ac:dyDescent="0.2">
      <c r="A22" s="12" t="s">
        <v>13</v>
      </c>
      <c r="B22" s="14">
        <f>CORREL(Data!$F$2:$F$514,Data!$N$2:$N$514)</f>
        <v>0.46281486047195175</v>
      </c>
    </row>
    <row r="23" spans="1:2" x14ac:dyDescent="0.2">
      <c r="A23" s="16" t="s">
        <v>15</v>
      </c>
      <c r="B23" s="17">
        <f>CORREL(Data!$F$2:$F$514,Data!$P$2:$P$514)</f>
        <v>0.14442966602887736</v>
      </c>
    </row>
    <row r="25" spans="1:2" x14ac:dyDescent="0.2">
      <c r="A25" s="11" t="s">
        <v>1131</v>
      </c>
    </row>
    <row r="26" spans="1:2" x14ac:dyDescent="0.2">
      <c r="A26" s="12" t="s">
        <v>1132</v>
      </c>
    </row>
    <row r="27" spans="1:2" x14ac:dyDescent="0.2">
      <c r="A27" s="12" t="s">
        <v>1133</v>
      </c>
    </row>
    <row r="28" spans="1:2" x14ac:dyDescent="0.2">
      <c r="A28" s="12" t="s">
        <v>1134</v>
      </c>
    </row>
    <row r="29" spans="1:2" x14ac:dyDescent="0.2">
      <c r="A29" s="12" t="s">
        <v>1135</v>
      </c>
    </row>
    <row r="30" spans="1:2" x14ac:dyDescent="0.2">
      <c r="A30" s="12" t="s">
        <v>1136</v>
      </c>
    </row>
    <row r="31" spans="1:2" x14ac:dyDescent="0.2">
      <c r="A31" s="12"/>
    </row>
    <row r="32" spans="1:2" x14ac:dyDescent="0.2">
      <c r="A32" s="11" t="s">
        <v>1137</v>
      </c>
    </row>
    <row r="33" spans="1:1" x14ac:dyDescent="0.2">
      <c r="A33" s="12" t="s">
        <v>1138</v>
      </c>
    </row>
    <row r="34" spans="1:1" x14ac:dyDescent="0.2">
      <c r="A34" s="12" t="s">
        <v>1139</v>
      </c>
    </row>
    <row r="35" spans="1:1" x14ac:dyDescent="0.2">
      <c r="A35" s="12" t="s">
        <v>1140</v>
      </c>
    </row>
    <row r="36" spans="1:1" x14ac:dyDescent="0.2">
      <c r="A36" s="12" t="s">
        <v>1141</v>
      </c>
    </row>
    <row r="37" spans="1:1" x14ac:dyDescent="0.2">
      <c r="A37" s="12" t="s">
        <v>1142</v>
      </c>
    </row>
    <row r="38" spans="1:1" x14ac:dyDescent="0.2">
      <c r="A38" s="12"/>
    </row>
    <row r="39" spans="1:1" x14ac:dyDescent="0.2">
      <c r="A39" s="11" t="s">
        <v>1143</v>
      </c>
    </row>
    <row r="40" spans="1:1" x14ac:dyDescent="0.2">
      <c r="A40" s="12" t="s">
        <v>1144</v>
      </c>
    </row>
    <row r="41" spans="1:1" x14ac:dyDescent="0.2">
      <c r="A41" s="12" t="s">
        <v>1145</v>
      </c>
    </row>
    <row r="42" spans="1:1" x14ac:dyDescent="0.2">
      <c r="A42" s="12" t="s">
        <v>1146</v>
      </c>
    </row>
    <row r="43" spans="1:1" x14ac:dyDescent="0.2">
      <c r="A43" s="12" t="s">
        <v>1147</v>
      </c>
    </row>
    <row r="44" spans="1:1" x14ac:dyDescent="0.2">
      <c r="A44" s="12" t="s">
        <v>1148</v>
      </c>
    </row>
    <row r="45" spans="1:1" x14ac:dyDescent="0.2">
      <c r="A45" s="12"/>
    </row>
    <row r="46" spans="1:1" x14ac:dyDescent="0.2">
      <c r="A46" s="11" t="s">
        <v>1149</v>
      </c>
    </row>
    <row r="47" spans="1:1" x14ac:dyDescent="0.2">
      <c r="A47" s="12" t="s">
        <v>1150</v>
      </c>
    </row>
    <row r="48" spans="1:1" x14ac:dyDescent="0.2">
      <c r="A48" s="12" t="s">
        <v>1151</v>
      </c>
    </row>
    <row r="49" spans="1:1" x14ac:dyDescent="0.2">
      <c r="A49" s="12" t="s">
        <v>1152</v>
      </c>
    </row>
    <row r="50" spans="1:1" x14ac:dyDescent="0.2">
      <c r="A50" s="12" t="s">
        <v>1153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8"/>
  <sheetViews>
    <sheetView zoomScaleNormal="100" workbookViewId="0"/>
  </sheetViews>
  <sheetFormatPr baseColWidth="10" defaultColWidth="8.5" defaultRowHeight="16" x14ac:dyDescent="0.2"/>
  <cols>
    <col min="1" max="1" width="15" customWidth="1"/>
  </cols>
  <sheetData>
    <row r="1" spans="1:1" x14ac:dyDescent="0.2">
      <c r="A1" s="11" t="s">
        <v>1154</v>
      </c>
    </row>
    <row r="2" spans="1:1" x14ac:dyDescent="0.2">
      <c r="A2" s="12"/>
    </row>
    <row r="3" spans="1:1" x14ac:dyDescent="0.2">
      <c r="A3" s="11" t="s">
        <v>1155</v>
      </c>
    </row>
    <row r="4" spans="1:1" x14ac:dyDescent="0.2">
      <c r="A4" s="12"/>
    </row>
    <row r="5" spans="1:1" x14ac:dyDescent="0.2">
      <c r="A5" s="11" t="s">
        <v>1156</v>
      </c>
    </row>
    <row r="6" spans="1:1" x14ac:dyDescent="0.2">
      <c r="A6" s="12" t="s">
        <v>1157</v>
      </c>
    </row>
    <row r="7" spans="1:1" x14ac:dyDescent="0.2">
      <c r="A7" s="12" t="s">
        <v>1158</v>
      </c>
    </row>
    <row r="8" spans="1:1" x14ac:dyDescent="0.2">
      <c r="A8" s="12" t="s">
        <v>1159</v>
      </c>
    </row>
    <row r="9" spans="1:1" x14ac:dyDescent="0.2">
      <c r="A9" s="12" t="s">
        <v>1160</v>
      </c>
    </row>
    <row r="10" spans="1:1" x14ac:dyDescent="0.2">
      <c r="A10" s="12" t="s">
        <v>1161</v>
      </c>
    </row>
    <row r="11" spans="1:1" x14ac:dyDescent="0.2">
      <c r="A11" s="12" t="s">
        <v>1162</v>
      </c>
    </row>
    <row r="12" spans="1:1" x14ac:dyDescent="0.2">
      <c r="A12" s="12" t="s">
        <v>1163</v>
      </c>
    </row>
    <row r="13" spans="1:1" x14ac:dyDescent="0.2">
      <c r="A13" s="12" t="s">
        <v>1164</v>
      </c>
    </row>
    <row r="14" spans="1:1" x14ac:dyDescent="0.2">
      <c r="A14" s="12"/>
    </row>
    <row r="15" spans="1:1" x14ac:dyDescent="0.2">
      <c r="A15" s="11" t="s">
        <v>1165</v>
      </c>
    </row>
    <row r="16" spans="1:1" x14ac:dyDescent="0.2">
      <c r="A16" s="12" t="s">
        <v>1166</v>
      </c>
    </row>
    <row r="17" spans="1:1" x14ac:dyDescent="0.2">
      <c r="A17" s="12" t="s">
        <v>1167</v>
      </c>
    </row>
    <row r="18" spans="1:1" x14ac:dyDescent="0.2">
      <c r="A18" s="12" t="s">
        <v>1168</v>
      </c>
    </row>
    <row r="19" spans="1:1" x14ac:dyDescent="0.2">
      <c r="A19" s="12" t="s">
        <v>1169</v>
      </c>
    </row>
    <row r="20" spans="1:1" x14ac:dyDescent="0.2">
      <c r="A20" s="12" t="s">
        <v>1170</v>
      </c>
    </row>
    <row r="21" spans="1:1" x14ac:dyDescent="0.2">
      <c r="A21" s="12" t="s">
        <v>1171</v>
      </c>
    </row>
    <row r="22" spans="1:1" x14ac:dyDescent="0.2">
      <c r="A22" s="12"/>
    </row>
    <row r="23" spans="1:1" x14ac:dyDescent="0.2">
      <c r="A23" s="11" t="s">
        <v>1172</v>
      </c>
    </row>
    <row r="24" spans="1:1" x14ac:dyDescent="0.2">
      <c r="A24" s="12" t="s">
        <v>1173</v>
      </c>
    </row>
    <row r="25" spans="1:1" x14ac:dyDescent="0.2">
      <c r="A25" s="12" t="s">
        <v>1174</v>
      </c>
    </row>
    <row r="26" spans="1:1" x14ac:dyDescent="0.2">
      <c r="A26" s="12" t="s">
        <v>1175</v>
      </c>
    </row>
    <row r="27" spans="1:1" x14ac:dyDescent="0.2">
      <c r="A27" s="12" t="s">
        <v>1176</v>
      </c>
    </row>
    <row r="28" spans="1:1" x14ac:dyDescent="0.2">
      <c r="A28" s="12" t="s">
        <v>1177</v>
      </c>
    </row>
    <row r="29" spans="1:1" x14ac:dyDescent="0.2">
      <c r="A29" s="12" t="s">
        <v>1178</v>
      </c>
    </row>
    <row r="30" spans="1:1" x14ac:dyDescent="0.2">
      <c r="A30" s="12" t="s">
        <v>1179</v>
      </c>
    </row>
    <row r="31" spans="1:1" x14ac:dyDescent="0.2">
      <c r="A31" s="12" t="s">
        <v>1180</v>
      </c>
    </row>
    <row r="32" spans="1:1" x14ac:dyDescent="0.2">
      <c r="A32" s="12"/>
    </row>
    <row r="33" spans="1:1" x14ac:dyDescent="0.2">
      <c r="A33" s="11" t="s">
        <v>1181</v>
      </c>
    </row>
    <row r="34" spans="1:1" x14ac:dyDescent="0.2">
      <c r="A34" s="12" t="s">
        <v>1182</v>
      </c>
    </row>
    <row r="35" spans="1:1" x14ac:dyDescent="0.2">
      <c r="A35" s="12" t="s">
        <v>1183</v>
      </c>
    </row>
    <row r="36" spans="1:1" x14ac:dyDescent="0.2">
      <c r="A36" s="12" t="s">
        <v>1184</v>
      </c>
    </row>
    <row r="37" spans="1:1" x14ac:dyDescent="0.2">
      <c r="A37" s="12" t="s">
        <v>1185</v>
      </c>
    </row>
    <row r="38" spans="1:1" x14ac:dyDescent="0.2">
      <c r="A38" s="12" t="s">
        <v>1186</v>
      </c>
    </row>
    <row r="39" spans="1:1" x14ac:dyDescent="0.2">
      <c r="A39" s="12" t="s">
        <v>1187</v>
      </c>
    </row>
    <row r="40" spans="1:1" x14ac:dyDescent="0.2">
      <c r="A40" s="12"/>
    </row>
    <row r="41" spans="1:1" x14ac:dyDescent="0.2">
      <c r="A41" s="11" t="s">
        <v>1188</v>
      </c>
    </row>
    <row r="42" spans="1:1" x14ac:dyDescent="0.2">
      <c r="A42" s="12" t="s">
        <v>1189</v>
      </c>
    </row>
    <row r="43" spans="1:1" x14ac:dyDescent="0.2">
      <c r="A43" s="12" t="s">
        <v>1190</v>
      </c>
    </row>
    <row r="44" spans="1:1" x14ac:dyDescent="0.2">
      <c r="A44" s="12" t="s">
        <v>1191</v>
      </c>
    </row>
    <row r="45" spans="1:1" x14ac:dyDescent="0.2">
      <c r="A45" s="12" t="s">
        <v>1192</v>
      </c>
    </row>
    <row r="46" spans="1:1" x14ac:dyDescent="0.2">
      <c r="A46" s="12" t="s">
        <v>1193</v>
      </c>
    </row>
    <row r="47" spans="1:1" x14ac:dyDescent="0.2">
      <c r="A47" s="12" t="s">
        <v>1194</v>
      </c>
    </row>
    <row r="48" spans="1:1" x14ac:dyDescent="0.2">
      <c r="A48" s="12" t="s">
        <v>1195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</vt:lpstr>
      <vt:lpstr>Model 1 - All Variables</vt:lpstr>
      <vt:lpstr>Model 2</vt:lpstr>
      <vt:lpstr>Model 3</vt:lpstr>
      <vt:lpstr>Model 4</vt:lpstr>
      <vt:lpstr>Model 5</vt:lpstr>
      <vt:lpstr>Model 6</vt:lpstr>
      <vt:lpstr>Model 7</vt:lpstr>
      <vt:lpstr>Model 8</vt:lpstr>
      <vt:lpstr>Model 9</vt:lpstr>
      <vt:lpstr>Final Model</vt:lpstr>
      <vt:lpstr>Multicollinearity</vt:lpstr>
      <vt:lpstr>Regression Commentary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Rothstein, Ben</dc:creator>
  <dc:description/>
  <cp:lastModifiedBy>Rothstein, Ben</cp:lastModifiedBy>
  <cp:revision>0</cp:revision>
  <dcterms:created xsi:type="dcterms:W3CDTF">2026-07-21T15:51:42Z</dcterms:created>
  <dcterms:modified xsi:type="dcterms:W3CDTF">2026-08-12T21:19:21Z</dcterms:modified>
  <dc:language>en-US</dc:language>
</cp:coreProperties>
</file>